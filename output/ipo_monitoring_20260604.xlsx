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IPO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전체" sheetId="3" state="visible" r:id="rId3"/>
    <sheet xmlns:r="http://schemas.openxmlformats.org/officeDocument/2006/relationships" name="전체_전일자" sheetId="4" state="visible" r:id="rId4"/>
    <sheet xmlns:r="http://schemas.openxmlformats.org/officeDocument/2006/relationships" name="RSI과매도" sheetId="5" state="visible" r:id="rId5"/>
    <sheet xmlns:r="http://schemas.openxmlformats.org/officeDocument/2006/relationships" name="외국인순매수TOP" sheetId="6" state="visible" r:id="rId6"/>
    <sheet xmlns:r="http://schemas.openxmlformats.org/officeDocument/2006/relationships" name="기관순매수TOP" sheetId="7" state="visible" r:id="rId7"/>
    <sheet xmlns:r="http://schemas.openxmlformats.org/officeDocument/2006/relationships" name="RVOL_TOP" sheetId="8" state="visible" r:id="rId8"/>
    <sheet xmlns:r="http://schemas.openxmlformats.org/officeDocument/2006/relationships" name="RSI추이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2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20"/>
    </font>
    <font>
      <name val="맑은 고딕"/>
      <b val="1"/>
      <color rgb="00C9A84C"/>
      <sz val="20"/>
    </font>
    <font>
      <name val="맑은 고딕"/>
      <b val="1"/>
      <color rgb="0070AD47"/>
      <sz val="20"/>
    </font>
    <font>
      <name val="맑은 고딕"/>
      <b val="1"/>
      <color rgb="001F3864"/>
      <sz val="20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b val="1"/>
      <color rgb="00C9A84C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 indent="1"/>
    </xf>
    <xf numFmtId="0" fontId="4" fillId="2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164" fontId="10" fillId="4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 IPO 모멘텀 현황</a:t>
            </a:r>
          </a:p>
        </rich>
      </tx>
    </title>
    <plotArea>
      <pieChart>
        <varyColors val="1"/>
        <ser>
          <idx val="0"/>
          <order val="0"/>
          <tx>
            <strRef>
              <f>'POST IPO 보고서'!R10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'POST IPO 보고서'!$Q$11:$Q$13</f>
            </numRef>
          </cat>
          <val>
            <numRef>
              <f>'POST IPO 보고서'!$R$11:$R$13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60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1" customWidth="1" min="13" max="13"/>
    <col width="10" customWidth="1" min="14" max="14"/>
    <col width="11" customWidth="1" min="15" max="15"/>
    <col width="16" customWidth="1" min="17" max="17"/>
    <col width="10" customWidth="1" min="18" max="18"/>
  </cols>
  <sheetData>
    <row r="1" ht="8" customHeight="1"/>
    <row r="2" ht="38" customHeight="1">
      <c r="B2" s="1" t="inlineStr">
        <is>
          <t>POST IPO 모니터링 보고서</t>
        </is>
      </c>
    </row>
    <row r="3" ht="20" customHeight="1">
      <c r="B3" s="2" t="inlineStr">
        <is>
          <t>기준일: 2026-06-04  |  분석 대상: 138개 종목  |  2년 이내 신규 상장주</t>
        </is>
      </c>
    </row>
    <row r="4" ht="12" customHeight="1"/>
    <row r="5" ht="10" customHeight="1"/>
    <row r="6" ht="28" customHeight="1">
      <c r="B6" s="3" t="inlineStr">
        <is>
          <t>전체 종목</t>
        </is>
      </c>
      <c r="D6" s="4" t="inlineStr">
        <is>
          <t>A등급</t>
        </is>
      </c>
      <c r="F6" s="5" t="inlineStr">
        <is>
          <t>B등급</t>
        </is>
      </c>
      <c r="H6" s="6" t="inlineStr">
        <is>
          <t>50점 이상
종목수</t>
        </is>
      </c>
      <c r="J6" s="6" t="inlineStr">
        <is>
          <t>RSI&gt;65</t>
        </is>
      </c>
    </row>
    <row r="7" ht="22" customHeight="1">
      <c r="B7" s="7" t="n">
        <v>138</v>
      </c>
      <c r="D7" s="8" t="n">
        <v>0</v>
      </c>
      <c r="F7" s="9" t="n">
        <v>7</v>
      </c>
      <c r="H7" s="10" t="n">
        <v>49</v>
      </c>
      <c r="J7" s="10">
        <f>COUNTIF(전체!Q2:Q10000,"&gt;65")</f>
        <v/>
      </c>
    </row>
    <row r="8" ht="12" customHeight="1"/>
    <row r="9" ht="10" customHeight="1"/>
    <row r="10" ht="22" customHeight="1">
      <c r="B10" s="11" t="inlineStr">
        <is>
          <t>[Top] 추천종목  (종합스코어 50점 이상)</t>
        </is>
      </c>
      <c r="Q10" t="inlineStr">
        <is>
          <t>구분</t>
        </is>
      </c>
      <c r="R10" t="inlineStr">
        <is>
          <t>종목수</t>
        </is>
      </c>
    </row>
    <row r="11" ht="18" customHeight="1">
      <c r="B11" s="12" t="inlineStr">
        <is>
          <t>순위</t>
        </is>
      </c>
      <c r="C11" s="12" t="inlineStr">
        <is>
          <t>종목명</t>
        </is>
      </c>
      <c r="D11" s="12" t="inlineStr">
        <is>
          <t>종합점수</t>
        </is>
      </c>
      <c r="E11" s="12" t="inlineStr">
        <is>
          <t>모멘텀</t>
        </is>
      </c>
      <c r="F11" s="12" t="inlineStr">
        <is>
          <t>수급</t>
        </is>
      </c>
      <c r="G11" s="12" t="inlineStr">
        <is>
          <t>거래량</t>
        </is>
      </c>
      <c r="H11" s="12" t="inlineStr">
        <is>
          <t>RSI</t>
        </is>
      </c>
      <c r="I11" s="12" t="inlineStr">
        <is>
          <t>등급</t>
        </is>
      </c>
      <c r="J11" s="12" t="inlineStr">
        <is>
          <t>RSI신호</t>
        </is>
      </c>
      <c r="K11" s="12" t="inlineStr">
        <is>
          <t>등급변화</t>
        </is>
      </c>
      <c r="L11" s="12" t="inlineStr">
        <is>
          <t>점수변화량</t>
        </is>
      </c>
      <c r="M11" s="12" t="inlineStr">
        <is>
          <t>모멘텀Δ</t>
        </is>
      </c>
      <c r="N11" s="12" t="inlineStr">
        <is>
          <t>수급Δ</t>
        </is>
      </c>
      <c r="O11" s="12" t="inlineStr">
        <is>
          <t>거래량Δ</t>
        </is>
      </c>
      <c r="Q11" t="inlineStr">
        <is>
          <t>강세 (A+B등급)</t>
        </is>
      </c>
      <c r="R11" t="n">
        <v>7</v>
      </c>
    </row>
    <row r="12" ht="17" customHeight="1">
      <c r="B12" s="13" t="n">
        <v>1</v>
      </c>
      <c r="C12" s="13" t="inlineStr">
        <is>
          <t>M83</t>
        </is>
      </c>
      <c r="D12" s="13" t="n">
        <v>74.3</v>
      </c>
      <c r="E12" s="13" t="n">
        <v>98.09999999999999</v>
      </c>
      <c r="F12" s="13" t="n">
        <v>49.8</v>
      </c>
      <c r="G12" s="13" t="n">
        <v>100</v>
      </c>
      <c r="H12" s="13" t="n">
        <v>65.95034493601457</v>
      </c>
      <c r="I12" s="14" t="inlineStr">
        <is>
          <t>B</t>
        </is>
      </c>
      <c r="J12" s="15" t="inlineStr">
        <is>
          <t>★</t>
        </is>
      </c>
      <c r="K12" s="13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/>
      </c>
      <c r="L12" s="16">
        <f>IFERROR(D12-INDEX(전체_전일자!1:1048576,MATCH(C12,전체_전일자!B:B,0),MATCH("종합스코어",전체_전일자!1:1,0)),"")</f>
        <v/>
      </c>
      <c r="M12" s="16">
        <f>IFERROR(E12-INDEX(전체_전일자!1:1048576,MATCH(C12,전체_전일자!B:B,0),MATCH("모멘텀스코어",전체_전일자!1:1,0)),"")</f>
        <v/>
      </c>
      <c r="N12" s="16">
        <f>IFERROR(F12-INDEX(전체_전일자!1:1048576,MATCH(C12,전체_전일자!B:B,0),MATCH("수급스코어",전체_전일자!1:1,0)),"")</f>
        <v/>
      </c>
      <c r="O12" s="16">
        <f>IFERROR(G12-INDEX(전체_전일자!1:1048576,MATCH(C12,전체_전일자!B:B,0),MATCH("거래량스코어",전체_전일자!1:1,0)),"")</f>
        <v/>
      </c>
      <c r="Q12" t="inlineStr">
        <is>
          <t>중립 (C등급)</t>
        </is>
      </c>
      <c r="R12" t="n">
        <v>42</v>
      </c>
    </row>
    <row r="13" ht="17" customHeight="1">
      <c r="B13" s="17" t="n">
        <v>2</v>
      </c>
      <c r="C13" s="17" t="inlineStr">
        <is>
          <t>디앤디파마텍</t>
        </is>
      </c>
      <c r="D13" s="17" t="n">
        <v>73.59999999999999</v>
      </c>
      <c r="E13" s="17" t="n">
        <v>98.8</v>
      </c>
      <c r="F13" s="17" t="n">
        <v>50</v>
      </c>
      <c r="G13" s="17" t="n">
        <v>94.8</v>
      </c>
      <c r="H13" s="17" t="n">
        <v>59.71953800661702</v>
      </c>
      <c r="I13" s="14" t="inlineStr">
        <is>
          <t>B</t>
        </is>
      </c>
      <c r="J13" s="17" t="inlineStr"/>
      <c r="K13" s="17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/>
      </c>
      <c r="L13" s="18">
        <f>IFERROR(D13-INDEX(전체_전일자!1:1048576,MATCH(C13,전체_전일자!B:B,0),MATCH("종합스코어",전체_전일자!1:1,0)),"")</f>
        <v/>
      </c>
      <c r="M13" s="18">
        <f>IFERROR(E13-INDEX(전체_전일자!1:1048576,MATCH(C13,전체_전일자!B:B,0),MATCH("모멘텀스코어",전체_전일자!1:1,0)),"")</f>
        <v/>
      </c>
      <c r="N13" s="18">
        <f>IFERROR(F13-INDEX(전체_전일자!1:1048576,MATCH(C13,전체_전일자!B:B,0),MATCH("수급스코어",전체_전일자!1:1,0)),"")</f>
        <v/>
      </c>
      <c r="O13" s="18">
        <f>IFERROR(G13-INDEX(전체_전일자!1:1048576,MATCH(C13,전체_전일자!B:B,0),MATCH("거래량스코어",전체_전일자!1:1,0)),"")</f>
        <v/>
      </c>
      <c r="Q13" t="inlineStr">
        <is>
          <t>약세 (D+F등급)</t>
        </is>
      </c>
      <c r="R13" t="n">
        <v>89</v>
      </c>
    </row>
    <row r="14" ht="17" customHeight="1">
      <c r="B14" s="13" t="n">
        <v>3</v>
      </c>
      <c r="C14" s="13" t="inlineStr">
        <is>
          <t>에스켐</t>
        </is>
      </c>
      <c r="D14" s="13" t="n">
        <v>72</v>
      </c>
      <c r="E14" s="13" t="n">
        <v>90.3</v>
      </c>
      <c r="F14" s="13" t="n">
        <v>54.2</v>
      </c>
      <c r="G14" s="13" t="n">
        <v>88.90000000000001</v>
      </c>
      <c r="H14" s="13" t="n">
        <v>44.20643104899056</v>
      </c>
      <c r="I14" s="14" t="inlineStr">
        <is>
          <t>B</t>
        </is>
      </c>
      <c r="J14" s="13" t="inlineStr"/>
      <c r="K14" s="13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/>
      </c>
      <c r="L14" s="16">
        <f>IFERROR(D14-INDEX(전체_전일자!1:1048576,MATCH(C14,전체_전일자!B:B,0),MATCH("종합스코어",전체_전일자!1:1,0)),"")</f>
        <v/>
      </c>
      <c r="M14" s="16">
        <f>IFERROR(E14-INDEX(전체_전일자!1:1048576,MATCH(C14,전체_전일자!B:B,0),MATCH("모멘텀스코어",전체_전일자!1:1,0)),"")</f>
        <v/>
      </c>
      <c r="N14" s="16">
        <f>IFERROR(F14-INDEX(전체_전일자!1:1048576,MATCH(C14,전체_전일자!B:B,0),MATCH("수급스코어",전체_전일자!1:1,0)),"")</f>
        <v/>
      </c>
      <c r="O14" s="16">
        <f>IFERROR(G14-INDEX(전체_전일자!1:1048576,MATCH(C14,전체_전일자!B:B,0),MATCH("거래량스코어",전체_전일자!1:1,0)),"")</f>
        <v/>
      </c>
    </row>
    <row r="15" ht="17" customHeight="1">
      <c r="B15" s="17" t="n">
        <v>4</v>
      </c>
      <c r="C15" s="17" t="inlineStr">
        <is>
          <t>노머스</t>
        </is>
      </c>
      <c r="D15" s="17" t="n">
        <v>68.3</v>
      </c>
      <c r="E15" s="17" t="n">
        <v>46.6</v>
      </c>
      <c r="F15" s="17" t="n">
        <v>79.90000000000001</v>
      </c>
      <c r="G15" s="17" t="n">
        <v>71.90000000000001</v>
      </c>
      <c r="H15" s="17" t="n">
        <v>35.38595035001909</v>
      </c>
      <c r="I15" s="14" t="inlineStr">
        <is>
          <t>B</t>
        </is>
      </c>
      <c r="J15" s="17" t="inlineStr"/>
      <c r="K15" s="17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/>
      </c>
      <c r="L15" s="18">
        <f>IFERROR(D15-INDEX(전체_전일자!1:1048576,MATCH(C15,전체_전일자!B:B,0),MATCH("종합스코어",전체_전일자!1:1,0)),"")</f>
        <v/>
      </c>
      <c r="M15" s="18">
        <f>IFERROR(E15-INDEX(전체_전일자!1:1048576,MATCH(C15,전체_전일자!B:B,0),MATCH("모멘텀스코어",전체_전일자!1:1,0)),"")</f>
        <v/>
      </c>
      <c r="N15" s="18">
        <f>IFERROR(F15-INDEX(전체_전일자!1:1048576,MATCH(C15,전체_전일자!B:B,0),MATCH("수급스코어",전체_전일자!1:1,0)),"")</f>
        <v/>
      </c>
      <c r="O15" s="18">
        <f>IFERROR(G15-INDEX(전체_전일자!1:1048576,MATCH(C15,전체_전일자!B:B,0),MATCH("거래량스코어",전체_전일자!1:1,0)),"")</f>
        <v/>
      </c>
    </row>
    <row r="16" ht="17" customHeight="1">
      <c r="B16" s="13" t="n">
        <v>5</v>
      </c>
      <c r="C16" s="13" t="inlineStr">
        <is>
          <t>에이치브이엠</t>
        </is>
      </c>
      <c r="D16" s="13" t="n">
        <v>68.3</v>
      </c>
      <c r="E16" s="13" t="n">
        <v>70.5</v>
      </c>
      <c r="F16" s="13" t="n">
        <v>67</v>
      </c>
      <c r="G16" s="13" t="n">
        <v>68.09999999999999</v>
      </c>
      <c r="H16" s="13" t="n">
        <v>50.0324723091279</v>
      </c>
      <c r="I16" s="14" t="inlineStr">
        <is>
          <t>B</t>
        </is>
      </c>
      <c r="J16" s="13" t="inlineStr"/>
      <c r="K16" s="13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/>
      </c>
      <c r="L16" s="16">
        <f>IFERROR(D16-INDEX(전체_전일자!1:1048576,MATCH(C16,전체_전일자!B:B,0),MATCH("종합스코어",전체_전일자!1:1,0)),"")</f>
        <v/>
      </c>
      <c r="M16" s="16">
        <f>IFERROR(E16-INDEX(전체_전일자!1:1048576,MATCH(C16,전체_전일자!B:B,0),MATCH("모멘텀스코어",전체_전일자!1:1,0)),"")</f>
        <v/>
      </c>
      <c r="N16" s="16">
        <f>IFERROR(F16-INDEX(전체_전일자!1:1048576,MATCH(C16,전체_전일자!B:B,0),MATCH("수급스코어",전체_전일자!1:1,0)),"")</f>
        <v/>
      </c>
      <c r="O16" s="16">
        <f>IFERROR(G16-INDEX(전체_전일자!1:1048576,MATCH(C16,전체_전일자!B:B,0),MATCH("거래량스코어",전체_전일자!1:1,0)),"")</f>
        <v/>
      </c>
    </row>
    <row r="17" ht="17" customHeight="1">
      <c r="B17" s="17" t="n">
        <v>6</v>
      </c>
      <c r="C17" s="17" t="inlineStr">
        <is>
          <t>케이뱅크</t>
        </is>
      </c>
      <c r="D17" s="17" t="n">
        <v>67.59999999999999</v>
      </c>
      <c r="E17" s="17" t="n">
        <v>75.59999999999999</v>
      </c>
      <c r="F17" s="17" t="n">
        <v>67.90000000000001</v>
      </c>
      <c r="G17" s="17" t="n">
        <v>54.8</v>
      </c>
      <c r="H17" s="17" t="n">
        <v>39.37922669772343</v>
      </c>
      <c r="I17" s="14" t="inlineStr">
        <is>
          <t>B</t>
        </is>
      </c>
      <c r="J17" s="17" t="inlineStr"/>
      <c r="K17" s="17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/>
      </c>
      <c r="L17" s="18">
        <f>IFERROR(D17-INDEX(전체_전일자!1:1048576,MATCH(C17,전체_전일자!B:B,0),MATCH("종합스코어",전체_전일자!1:1,0)),"")</f>
        <v/>
      </c>
      <c r="M17" s="18">
        <f>IFERROR(E17-INDEX(전체_전일자!1:1048576,MATCH(C17,전체_전일자!B:B,0),MATCH("모멘텀스코어",전체_전일자!1:1,0)),"")</f>
        <v/>
      </c>
      <c r="N17" s="18">
        <f>IFERROR(F17-INDEX(전체_전일자!1:1048576,MATCH(C17,전체_전일자!B:B,0),MATCH("수급스코어",전체_전일자!1:1,0)),"")</f>
        <v/>
      </c>
      <c r="O17" s="18">
        <f>IFERROR(G17-INDEX(전체_전일자!1:1048576,MATCH(C17,전체_전일자!B:B,0),MATCH("거래량스코어",전체_전일자!1:1,0)),"")</f>
        <v/>
      </c>
    </row>
    <row r="18" ht="17" customHeight="1">
      <c r="B18" s="13" t="n">
        <v>7</v>
      </c>
      <c r="C18" s="13" t="inlineStr">
        <is>
          <t>벡트</t>
        </is>
      </c>
      <c r="D18" s="13" t="n">
        <v>65.2</v>
      </c>
      <c r="E18" s="13" t="n">
        <v>52.4</v>
      </c>
      <c r="F18" s="13" t="n">
        <v>60.2</v>
      </c>
      <c r="G18" s="13" t="n">
        <v>97</v>
      </c>
      <c r="H18" s="13" t="n">
        <v>34.92875819184506</v>
      </c>
      <c r="I18" s="14" t="inlineStr">
        <is>
          <t>B</t>
        </is>
      </c>
      <c r="J18" s="13" t="inlineStr"/>
      <c r="K18" s="13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/>
      </c>
      <c r="L18" s="16">
        <f>IFERROR(D18-INDEX(전체_전일자!1:1048576,MATCH(C18,전체_전일자!B:B,0),MATCH("종합스코어",전체_전일자!1:1,0)),"")</f>
        <v/>
      </c>
      <c r="M18" s="16">
        <f>IFERROR(E18-INDEX(전체_전일자!1:1048576,MATCH(C18,전체_전일자!B:B,0),MATCH("모멘텀스코어",전체_전일자!1:1,0)),"")</f>
        <v/>
      </c>
      <c r="N18" s="16">
        <f>IFERROR(F18-INDEX(전체_전일자!1:1048576,MATCH(C18,전체_전일자!B:B,0),MATCH("수급스코어",전체_전일자!1:1,0)),"")</f>
        <v/>
      </c>
      <c r="O18" s="16">
        <f>IFERROR(G18-INDEX(전체_전일자!1:1048576,MATCH(C18,전체_전일자!B:B,0),MATCH("거래량스코어",전체_전일자!1:1,0)),"")</f>
        <v/>
      </c>
    </row>
    <row r="19" ht="17" customHeight="1">
      <c r="B19" s="17" t="n">
        <v>8</v>
      </c>
      <c r="C19" s="17" t="inlineStr">
        <is>
          <t>한텍</t>
        </is>
      </c>
      <c r="D19" s="17" t="n">
        <v>64.5</v>
      </c>
      <c r="E19" s="17" t="n">
        <v>87.59999999999999</v>
      </c>
      <c r="F19" s="17" t="n">
        <v>39.7</v>
      </c>
      <c r="G19" s="17" t="n">
        <v>91.90000000000001</v>
      </c>
      <c r="H19" s="17" t="n">
        <v>45.70089627437983</v>
      </c>
      <c r="I19" s="19" t="inlineStr">
        <is>
          <t>C</t>
        </is>
      </c>
      <c r="J19" s="17" t="inlineStr"/>
      <c r="K19" s="17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/>
      </c>
      <c r="L19" s="18">
        <f>IFERROR(D19-INDEX(전체_전일자!1:1048576,MATCH(C19,전체_전일자!B:B,0),MATCH("종합스코어",전체_전일자!1:1,0)),"")</f>
        <v/>
      </c>
      <c r="M19" s="18">
        <f>IFERROR(E19-INDEX(전체_전일자!1:1048576,MATCH(C19,전체_전일자!B:B,0),MATCH("모멘텀스코어",전체_전일자!1:1,0)),"")</f>
        <v/>
      </c>
      <c r="N19" s="18">
        <f>IFERROR(F19-INDEX(전체_전일자!1:1048576,MATCH(C19,전체_전일자!B:B,0),MATCH("수급스코어",전체_전일자!1:1,0)),"")</f>
        <v/>
      </c>
      <c r="O19" s="18">
        <f>IFERROR(G19-INDEX(전체_전일자!1:1048576,MATCH(C19,전체_전일자!B:B,0),MATCH("거래량스코어",전체_전일자!1:1,0)),"")</f>
        <v/>
      </c>
    </row>
    <row r="20" ht="17" customHeight="1">
      <c r="B20" s="13" t="n">
        <v>9</v>
      </c>
      <c r="C20" s="13" t="inlineStr">
        <is>
          <t>한켐</t>
        </is>
      </c>
      <c r="D20" s="13" t="n">
        <v>64.3</v>
      </c>
      <c r="E20" s="13" t="n">
        <v>71.5</v>
      </c>
      <c r="F20" s="13" t="n">
        <v>67</v>
      </c>
      <c r="G20" s="13" t="n">
        <v>46.7</v>
      </c>
      <c r="H20" s="13" t="n">
        <v>60.1125847289442</v>
      </c>
      <c r="I20" s="19" t="inlineStr">
        <is>
          <t>C</t>
        </is>
      </c>
      <c r="J20" s="13" t="inlineStr"/>
      <c r="K20" s="13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/>
      </c>
      <c r="L20" s="16">
        <f>IFERROR(D20-INDEX(전체_전일자!1:1048576,MATCH(C20,전체_전일자!B:B,0),MATCH("종합스코어",전체_전일자!1:1,0)),"")</f>
        <v/>
      </c>
      <c r="M20" s="16">
        <f>IFERROR(E20-INDEX(전체_전일자!1:1048576,MATCH(C20,전체_전일자!B:B,0),MATCH("모멘텀스코어",전체_전일자!1:1,0)),"")</f>
        <v/>
      </c>
      <c r="N20" s="16">
        <f>IFERROR(F20-INDEX(전체_전일자!1:1048576,MATCH(C20,전체_전일자!B:B,0),MATCH("수급스코어",전체_전일자!1:1,0)),"")</f>
        <v/>
      </c>
      <c r="O20" s="16">
        <f>IFERROR(G20-INDEX(전체_전일자!1:1048576,MATCH(C20,전체_전일자!B:B,0),MATCH("거래량스코어",전체_전일자!1:1,0)),"")</f>
        <v/>
      </c>
    </row>
    <row r="21" ht="17" customHeight="1">
      <c r="B21" s="17" t="n">
        <v>10</v>
      </c>
      <c r="C21" s="17" t="inlineStr">
        <is>
          <t>클로봇</t>
        </is>
      </c>
      <c r="D21" s="17" t="n">
        <v>64.2</v>
      </c>
      <c r="E21" s="17" t="n">
        <v>71.5</v>
      </c>
      <c r="F21" s="17" t="n">
        <v>50.2</v>
      </c>
      <c r="G21" s="17" t="n">
        <v>88.09999999999999</v>
      </c>
      <c r="H21" s="17" t="n">
        <v>50.16541349195553</v>
      </c>
      <c r="I21" s="19" t="inlineStr">
        <is>
          <t>C</t>
        </is>
      </c>
      <c r="J21" s="17" t="inlineStr"/>
      <c r="K21" s="17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/>
      </c>
      <c r="L21" s="18">
        <f>IFERROR(D21-INDEX(전체_전일자!1:1048576,MATCH(C21,전체_전일자!B:B,0),MATCH("종합스코어",전체_전일자!1:1,0)),"")</f>
        <v/>
      </c>
      <c r="M21" s="18">
        <f>IFERROR(E21-INDEX(전체_전일자!1:1048576,MATCH(C21,전체_전일자!B:B,0),MATCH("모멘텀스코어",전체_전일자!1:1,0)),"")</f>
        <v/>
      </c>
      <c r="N21" s="18">
        <f>IFERROR(F21-INDEX(전체_전일자!1:1048576,MATCH(C21,전체_전일자!B:B,0),MATCH("수급스코어",전체_전일자!1:1,0)),"")</f>
        <v/>
      </c>
      <c r="O21" s="18">
        <f>IFERROR(G21-INDEX(전체_전일자!1:1048576,MATCH(C21,전체_전일자!B:B,0),MATCH("거래량스코어",전체_전일자!1:1,0)),"")</f>
        <v/>
      </c>
    </row>
    <row r="22" ht="17" customHeight="1">
      <c r="B22" s="13" t="n">
        <v>11</v>
      </c>
      <c r="C22" s="13" t="inlineStr">
        <is>
          <t>달바글로벌</t>
        </is>
      </c>
      <c r="D22" s="13" t="n">
        <v>64.09999999999999</v>
      </c>
      <c r="E22" s="13" t="n">
        <v>69.5</v>
      </c>
      <c r="F22" s="13" t="n">
        <v>50.7</v>
      </c>
      <c r="G22" s="13" t="n">
        <v>89.59999999999999</v>
      </c>
      <c r="H22" s="13" t="n">
        <v>43.86710140349594</v>
      </c>
      <c r="I22" s="19" t="inlineStr">
        <is>
          <t>C</t>
        </is>
      </c>
      <c r="J22" s="13" t="inlineStr"/>
      <c r="K22" s="13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/>
      </c>
      <c r="L22" s="16">
        <f>IFERROR(D22-INDEX(전체_전일자!1:1048576,MATCH(C22,전체_전일자!B:B,0),MATCH("종합스코어",전체_전일자!1:1,0)),"")</f>
        <v/>
      </c>
      <c r="M22" s="16">
        <f>IFERROR(E22-INDEX(전체_전일자!1:1048576,MATCH(C22,전체_전일자!B:B,0),MATCH("모멘텀스코어",전체_전일자!1:1,0)),"")</f>
        <v/>
      </c>
      <c r="N22" s="16">
        <f>IFERROR(F22-INDEX(전체_전일자!1:1048576,MATCH(C22,전체_전일자!B:B,0),MATCH("수급스코어",전체_전일자!1:1,0)),"")</f>
        <v/>
      </c>
      <c r="O22" s="16">
        <f>IFERROR(G22-INDEX(전체_전일자!1:1048576,MATCH(C22,전체_전일자!B:B,0),MATCH("거래량스코어",전체_전일자!1:1,0)),"")</f>
        <v/>
      </c>
    </row>
    <row r="23" ht="17" customHeight="1">
      <c r="B23" s="17" t="n">
        <v>12</v>
      </c>
      <c r="C23" s="17" t="inlineStr">
        <is>
          <t>시프트업</t>
        </is>
      </c>
      <c r="D23" s="17" t="n">
        <v>63.6</v>
      </c>
      <c r="E23" s="17" t="n">
        <v>79.40000000000001</v>
      </c>
      <c r="F23" s="17" t="n">
        <v>45.8</v>
      </c>
      <c r="G23" s="17" t="n">
        <v>84.40000000000001</v>
      </c>
      <c r="H23" s="17" t="n">
        <v>48.93134003062531</v>
      </c>
      <c r="I23" s="19" t="inlineStr">
        <is>
          <t>C</t>
        </is>
      </c>
      <c r="J23" s="17" t="inlineStr"/>
      <c r="K23" s="17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/>
      </c>
      <c r="L23" s="18">
        <f>IFERROR(D23-INDEX(전체_전일자!1:1048576,MATCH(C23,전체_전일자!B:B,0),MATCH("종합스코어",전체_전일자!1:1,0)),"")</f>
        <v/>
      </c>
      <c r="M23" s="18">
        <f>IFERROR(E23-INDEX(전체_전일자!1:1048576,MATCH(C23,전체_전일자!B:B,0),MATCH("모멘텀스코어",전체_전일자!1:1,0)),"")</f>
        <v/>
      </c>
      <c r="N23" s="18">
        <f>IFERROR(F23-INDEX(전체_전일자!1:1048576,MATCH(C23,전체_전일자!B:B,0),MATCH("수급스코어",전체_전일자!1:1,0)),"")</f>
        <v/>
      </c>
      <c r="O23" s="18">
        <f>IFERROR(G23-INDEX(전체_전일자!1:1048576,MATCH(C23,전체_전일자!B:B,0),MATCH("거래량스코어",전체_전일자!1:1,0)),"")</f>
        <v/>
      </c>
    </row>
    <row r="24" ht="17" customHeight="1">
      <c r="B24" s="13" t="n">
        <v>13</v>
      </c>
      <c r="C24" s="13" t="inlineStr">
        <is>
          <t>아이에스티이</t>
        </is>
      </c>
      <c r="D24" s="13" t="n">
        <v>63.6</v>
      </c>
      <c r="E24" s="13" t="n">
        <v>76.8</v>
      </c>
      <c r="F24" s="13" t="n">
        <v>64.3</v>
      </c>
      <c r="G24" s="13" t="n">
        <v>42.2</v>
      </c>
      <c r="H24" s="13" t="n">
        <v>54.35842724138814</v>
      </c>
      <c r="I24" s="19" t="inlineStr">
        <is>
          <t>C</t>
        </is>
      </c>
      <c r="J24" s="13" t="inlineStr"/>
      <c r="K24" s="13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/>
      </c>
      <c r="L24" s="16">
        <f>IFERROR(D24-INDEX(전체_전일자!1:1048576,MATCH(C24,전체_전일자!B:B,0),MATCH("종합스코어",전체_전일자!1:1,0)),"")</f>
        <v/>
      </c>
      <c r="M24" s="16">
        <f>IFERROR(E24-INDEX(전체_전일자!1:1048576,MATCH(C24,전체_전일자!B:B,0),MATCH("모멘텀스코어",전체_전일자!1:1,0)),"")</f>
        <v/>
      </c>
      <c r="N24" s="16">
        <f>IFERROR(F24-INDEX(전체_전일자!1:1048576,MATCH(C24,전체_전일자!B:B,0),MATCH("수급스코어",전체_전일자!1:1,0)),"")</f>
        <v/>
      </c>
      <c r="O24" s="16">
        <f>IFERROR(G24-INDEX(전체_전일자!1:1048576,MATCH(C24,전체_전일자!B:B,0),MATCH("거래량스코어",전체_전일자!1:1,0)),"")</f>
        <v/>
      </c>
    </row>
    <row r="25" ht="17" customHeight="1">
      <c r="B25" s="17" t="n">
        <v>14</v>
      </c>
      <c r="C25" s="17" t="inlineStr">
        <is>
          <t>아이씨티케이</t>
        </is>
      </c>
      <c r="D25" s="17" t="n">
        <v>62</v>
      </c>
      <c r="E25" s="17" t="n">
        <v>53.9</v>
      </c>
      <c r="F25" s="17" t="n">
        <v>84.3</v>
      </c>
      <c r="G25" s="17" t="n">
        <v>18.5</v>
      </c>
      <c r="H25" s="17" t="n">
        <v>54.39310551756087</v>
      </c>
      <c r="I25" s="19" t="inlineStr">
        <is>
          <t>C</t>
        </is>
      </c>
      <c r="J25" s="17" t="inlineStr"/>
      <c r="K25" s="17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/>
      </c>
      <c r="L25" s="18">
        <f>IFERROR(D25-INDEX(전체_전일자!1:1048576,MATCH(C25,전체_전일자!B:B,0),MATCH("종합스코어",전체_전일자!1:1,0)),"")</f>
        <v/>
      </c>
      <c r="M25" s="18">
        <f>IFERROR(E25-INDEX(전체_전일자!1:1048576,MATCH(C25,전체_전일자!B:B,0),MATCH("모멘텀스코어",전체_전일자!1:1,0)),"")</f>
        <v/>
      </c>
      <c r="N25" s="18">
        <f>IFERROR(F25-INDEX(전체_전일자!1:1048576,MATCH(C25,전체_전일자!B:B,0),MATCH("수급스코어",전체_전일자!1:1,0)),"")</f>
        <v/>
      </c>
      <c r="O25" s="18">
        <f>IFERROR(G25-INDEX(전체_전일자!1:1048576,MATCH(C25,전체_전일자!B:B,0),MATCH("거래량스코어",전체_전일자!1:1,0)),"")</f>
        <v/>
      </c>
    </row>
    <row r="26" ht="17" customHeight="1">
      <c r="B26" s="13" t="n">
        <v>15</v>
      </c>
      <c r="C26" s="13" t="inlineStr">
        <is>
          <t>아스테라시스</t>
        </is>
      </c>
      <c r="D26" s="13" t="n">
        <v>61.9</v>
      </c>
      <c r="E26" s="13" t="n">
        <v>28.8</v>
      </c>
      <c r="F26" s="13" t="n">
        <v>74.59999999999999</v>
      </c>
      <c r="G26" s="13" t="n">
        <v>80</v>
      </c>
      <c r="H26" s="13" t="n">
        <v>23.74134848716414</v>
      </c>
      <c r="I26" s="19" t="inlineStr">
        <is>
          <t>C</t>
        </is>
      </c>
      <c r="J26" s="13" t="inlineStr"/>
      <c r="K26" s="13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/>
      </c>
      <c r="L26" s="16">
        <f>IFERROR(D26-INDEX(전체_전일자!1:1048576,MATCH(C26,전체_전일자!B:B,0),MATCH("종합스코어",전체_전일자!1:1,0)),"")</f>
        <v/>
      </c>
      <c r="M26" s="16">
        <f>IFERROR(E26-INDEX(전체_전일자!1:1048576,MATCH(C26,전체_전일자!B:B,0),MATCH("모멘텀스코어",전체_전일자!1:1,0)),"")</f>
        <v/>
      </c>
      <c r="N26" s="16">
        <f>IFERROR(F26-INDEX(전체_전일자!1:1048576,MATCH(C26,전체_전일자!B:B,0),MATCH("수급스코어",전체_전일자!1:1,0)),"")</f>
        <v/>
      </c>
      <c r="O26" s="16">
        <f>IFERROR(G26-INDEX(전체_전일자!1:1048576,MATCH(C26,전체_전일자!B:B,0),MATCH("거래량스코어",전체_전일자!1:1,0)),"")</f>
        <v/>
      </c>
    </row>
    <row r="27" ht="17" customHeight="1">
      <c r="B27" s="17" t="n">
        <v>16</v>
      </c>
      <c r="C27" s="17" t="inlineStr">
        <is>
          <t>KB발해인프라</t>
        </is>
      </c>
      <c r="D27" s="17" t="n">
        <v>60.2</v>
      </c>
      <c r="E27" s="17" t="n">
        <v>49.5</v>
      </c>
      <c r="F27" s="17" t="n">
        <v>53.6</v>
      </c>
      <c r="G27" s="17" t="n">
        <v>92.59999999999999</v>
      </c>
      <c r="H27" s="17" t="n">
        <v>37.79579579206913</v>
      </c>
      <c r="I27" s="19" t="inlineStr">
        <is>
          <t>C</t>
        </is>
      </c>
      <c r="J27" s="17" t="inlineStr"/>
      <c r="K27" s="17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/>
      </c>
      <c r="L27" s="18">
        <f>IFERROR(D27-INDEX(전체_전일자!1:1048576,MATCH(C27,전체_전일자!B:B,0),MATCH("종합스코어",전체_전일자!1:1,0)),"")</f>
        <v/>
      </c>
      <c r="M27" s="18">
        <f>IFERROR(E27-INDEX(전체_전일자!1:1048576,MATCH(C27,전체_전일자!B:B,0),MATCH("모멘텀스코어",전체_전일자!1:1,0)),"")</f>
        <v/>
      </c>
      <c r="N27" s="18">
        <f>IFERROR(F27-INDEX(전체_전일자!1:1048576,MATCH(C27,전체_전일자!B:B,0),MATCH("수급스코어",전체_전일자!1:1,0)),"")</f>
        <v/>
      </c>
      <c r="O27" s="18">
        <f>IFERROR(G27-INDEX(전체_전일자!1:1048576,MATCH(C27,전체_전일자!B:B,0),MATCH("거래량스코어",전체_전일자!1:1,0)),"")</f>
        <v/>
      </c>
    </row>
    <row r="28" ht="17" customHeight="1">
      <c r="B28" s="13" t="n">
        <v>17</v>
      </c>
      <c r="C28" s="13" t="inlineStr">
        <is>
          <t>바이오비쥬</t>
        </is>
      </c>
      <c r="D28" s="13" t="n">
        <v>60.1</v>
      </c>
      <c r="E28" s="13" t="n">
        <v>72.3</v>
      </c>
      <c r="F28" s="13" t="n">
        <v>45.5</v>
      </c>
      <c r="G28" s="13" t="n">
        <v>78.5</v>
      </c>
      <c r="H28" s="13" t="n">
        <v>40.88968756019091</v>
      </c>
      <c r="I28" s="19" t="inlineStr">
        <is>
          <t>C</t>
        </is>
      </c>
      <c r="J28" s="13" t="inlineStr"/>
      <c r="K28" s="13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/>
      </c>
      <c r="L28" s="16">
        <f>IFERROR(D28-INDEX(전체_전일자!1:1048576,MATCH(C28,전체_전일자!B:B,0),MATCH("종합스코어",전체_전일자!1:1,0)),"")</f>
        <v/>
      </c>
      <c r="M28" s="16">
        <f>IFERROR(E28-INDEX(전체_전일자!1:1048576,MATCH(C28,전체_전일자!B:B,0),MATCH("모멘텀스코어",전체_전일자!1:1,0)),"")</f>
        <v/>
      </c>
      <c r="N28" s="16">
        <f>IFERROR(F28-INDEX(전체_전일자!1:1048576,MATCH(C28,전체_전일자!B:B,0),MATCH("수급스코어",전체_전일자!1:1,0)),"")</f>
        <v/>
      </c>
      <c r="O28" s="16">
        <f>IFERROR(G28-INDEX(전체_전일자!1:1048576,MATCH(C28,전체_전일자!B:B,0),MATCH("거래량스코어",전체_전일자!1:1,0)),"")</f>
        <v/>
      </c>
    </row>
    <row r="29" ht="17" customHeight="1">
      <c r="B29" s="17" t="n">
        <v>18</v>
      </c>
      <c r="C29" s="17" t="inlineStr">
        <is>
          <t>오름테라퓨틱</t>
        </is>
      </c>
      <c r="D29" s="17" t="n">
        <v>60.1</v>
      </c>
      <c r="E29" s="17" t="n">
        <v>40.1</v>
      </c>
      <c r="F29" s="17" t="n">
        <v>72.40000000000001</v>
      </c>
      <c r="G29" s="17" t="n">
        <v>59.3</v>
      </c>
      <c r="H29" s="17" t="n">
        <v>33.40098878100214</v>
      </c>
      <c r="I29" s="19" t="inlineStr">
        <is>
          <t>C</t>
        </is>
      </c>
      <c r="J29" s="17" t="inlineStr"/>
      <c r="K29" s="17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/>
      </c>
      <c r="L29" s="18">
        <f>IFERROR(D29-INDEX(전체_전일자!1:1048576,MATCH(C29,전체_전일자!B:B,0),MATCH("종합스코어",전체_전일자!1:1,0)),"")</f>
        <v/>
      </c>
      <c r="M29" s="18">
        <f>IFERROR(E29-INDEX(전체_전일자!1:1048576,MATCH(C29,전체_전일자!B:B,0),MATCH("모멘텀스코어",전체_전일자!1:1,0)),"")</f>
        <v/>
      </c>
      <c r="N29" s="18">
        <f>IFERROR(F29-INDEX(전체_전일자!1:1048576,MATCH(C29,전체_전일자!B:B,0),MATCH("수급스코어",전체_전일자!1:1,0)),"")</f>
        <v/>
      </c>
      <c r="O29" s="18">
        <f>IFERROR(G29-INDEX(전체_전일자!1:1048576,MATCH(C29,전체_전일자!B:B,0),MATCH("거래량스코어",전체_전일자!1:1,0)),"")</f>
        <v/>
      </c>
    </row>
    <row r="30" ht="17" customHeight="1">
      <c r="B30" s="13" t="n">
        <v>19</v>
      </c>
      <c r="C30" s="13" t="inlineStr">
        <is>
          <t>더즌</t>
        </is>
      </c>
      <c r="D30" s="13" t="n">
        <v>59.6</v>
      </c>
      <c r="E30" s="13" t="n">
        <v>43.9</v>
      </c>
      <c r="F30" s="13" t="n">
        <v>75</v>
      </c>
      <c r="G30" s="13" t="n">
        <v>44.4</v>
      </c>
      <c r="H30" s="13" t="n">
        <v>30.15839501297305</v>
      </c>
      <c r="I30" s="19" t="inlineStr">
        <is>
          <t>C</t>
        </is>
      </c>
      <c r="J30" s="13" t="inlineStr"/>
      <c r="K30" s="13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/>
      </c>
      <c r="L30" s="16">
        <f>IFERROR(D30-INDEX(전체_전일자!1:1048576,MATCH(C30,전체_전일자!B:B,0),MATCH("종합스코어",전체_전일자!1:1,0)),"")</f>
        <v/>
      </c>
      <c r="M30" s="16">
        <f>IFERROR(E30-INDEX(전체_전일자!1:1048576,MATCH(C30,전체_전일자!B:B,0),MATCH("모멘텀스코어",전체_전일자!1:1,0)),"")</f>
        <v/>
      </c>
      <c r="N30" s="16">
        <f>IFERROR(F30-INDEX(전체_전일자!1:1048576,MATCH(C30,전체_전일자!B:B,0),MATCH("수급스코어",전체_전일자!1:1,0)),"")</f>
        <v/>
      </c>
      <c r="O30" s="16">
        <f>IFERROR(G30-INDEX(전체_전일자!1:1048576,MATCH(C30,전체_전일자!B:B,0),MATCH("거래량스코어",전체_전일자!1:1,0)),"")</f>
        <v/>
      </c>
    </row>
    <row r="31" ht="17" customHeight="1">
      <c r="B31" s="17" t="n">
        <v>20</v>
      </c>
      <c r="C31" s="17" t="inlineStr">
        <is>
          <t>링크솔루션</t>
        </is>
      </c>
      <c r="D31" s="17" t="n">
        <v>59.3</v>
      </c>
      <c r="E31" s="17" t="n">
        <v>23.6</v>
      </c>
      <c r="F31" s="17" t="n">
        <v>80.40000000000001</v>
      </c>
      <c r="G31" s="17" t="n">
        <v>60</v>
      </c>
      <c r="H31" s="17" t="n">
        <v>25.84897861583133</v>
      </c>
      <c r="I31" s="19" t="inlineStr">
        <is>
          <t>C</t>
        </is>
      </c>
      <c r="J31" s="17" t="inlineStr"/>
      <c r="K31" s="17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/>
      </c>
      <c r="L31" s="18">
        <f>IFERROR(D31-INDEX(전체_전일자!1:1048576,MATCH(C31,전체_전일자!B:B,0),MATCH("종합스코어",전체_전일자!1:1,0)),"")</f>
        <v/>
      </c>
      <c r="M31" s="18">
        <f>IFERROR(E31-INDEX(전체_전일자!1:1048576,MATCH(C31,전체_전일자!B:B,0),MATCH("모멘텀스코어",전체_전일자!1:1,0)),"")</f>
        <v/>
      </c>
      <c r="N31" s="18">
        <f>IFERROR(F31-INDEX(전체_전일자!1:1048576,MATCH(C31,전체_전일자!B:B,0),MATCH("수급스코어",전체_전일자!1:1,0)),"")</f>
        <v/>
      </c>
      <c r="O31" s="18">
        <f>IFERROR(G31-INDEX(전체_전일자!1:1048576,MATCH(C31,전체_전일자!B:B,0),MATCH("거래량스코어",전체_전일자!1:1,0)),"")</f>
        <v/>
      </c>
    </row>
    <row r="32" ht="17" customHeight="1">
      <c r="B32" s="13" t="n">
        <v>21</v>
      </c>
      <c r="C32" s="13" t="inlineStr">
        <is>
          <t>그래피</t>
        </is>
      </c>
      <c r="D32" s="13" t="n">
        <v>58.8</v>
      </c>
      <c r="E32" s="13" t="n">
        <v>51.8</v>
      </c>
      <c r="F32" s="13" t="n">
        <v>51.6</v>
      </c>
      <c r="G32" s="13" t="n">
        <v>87.40000000000001</v>
      </c>
      <c r="H32" s="13" t="n">
        <v>31.2981427638977</v>
      </c>
      <c r="I32" s="19" t="inlineStr">
        <is>
          <t>C</t>
        </is>
      </c>
      <c r="J32" s="13" t="inlineStr"/>
      <c r="K32" s="13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/>
      </c>
      <c r="L32" s="16">
        <f>IFERROR(D32-INDEX(전체_전일자!1:1048576,MATCH(C32,전체_전일자!B:B,0),MATCH("종합스코어",전체_전일자!1:1,0)),"")</f>
        <v/>
      </c>
      <c r="M32" s="16">
        <f>IFERROR(E32-INDEX(전체_전일자!1:1048576,MATCH(C32,전체_전일자!B:B,0),MATCH("모멘텀스코어",전체_전일자!1:1,0)),"")</f>
        <v/>
      </c>
      <c r="N32" s="16">
        <f>IFERROR(F32-INDEX(전체_전일자!1:1048576,MATCH(C32,전체_전일자!B:B,0),MATCH("수급스코어",전체_전일자!1:1,0)),"")</f>
        <v/>
      </c>
      <c r="O32" s="16">
        <f>IFERROR(G32-INDEX(전체_전일자!1:1048576,MATCH(C32,전체_전일자!B:B,0),MATCH("거래량스코어",전체_전일자!1:1,0)),"")</f>
        <v/>
      </c>
    </row>
    <row r="33" ht="17" customHeight="1">
      <c r="B33" s="17" t="n">
        <v>22</v>
      </c>
      <c r="C33" s="17" t="inlineStr">
        <is>
          <t>와이제이링크</t>
        </is>
      </c>
      <c r="D33" s="17" t="n">
        <v>58.8</v>
      </c>
      <c r="E33" s="17" t="n">
        <v>40.8</v>
      </c>
      <c r="F33" s="17" t="n">
        <v>75.7</v>
      </c>
      <c r="G33" s="17" t="n">
        <v>43.7</v>
      </c>
      <c r="H33" s="17" t="n">
        <v>37.41689293175964</v>
      </c>
      <c r="I33" s="19" t="inlineStr">
        <is>
          <t>C</t>
        </is>
      </c>
      <c r="J33" s="17" t="inlineStr"/>
      <c r="K33" s="17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/>
      </c>
      <c r="L33" s="18">
        <f>IFERROR(D33-INDEX(전체_전일자!1:1048576,MATCH(C33,전체_전일자!B:B,0),MATCH("종합스코어",전체_전일자!1:1,0)),"")</f>
        <v/>
      </c>
      <c r="M33" s="18">
        <f>IFERROR(E33-INDEX(전체_전일자!1:1048576,MATCH(C33,전체_전일자!B:B,0),MATCH("모멘텀스코어",전체_전일자!1:1,0)),"")</f>
        <v/>
      </c>
      <c r="N33" s="18">
        <f>IFERROR(F33-INDEX(전체_전일자!1:1048576,MATCH(C33,전체_전일자!B:B,0),MATCH("수급스코어",전체_전일자!1:1,0)),"")</f>
        <v/>
      </c>
      <c r="O33" s="18">
        <f>IFERROR(G33-INDEX(전체_전일자!1:1048576,MATCH(C33,전체_전일자!B:B,0),MATCH("거래량스코어",전체_전일자!1:1,0)),"")</f>
        <v/>
      </c>
    </row>
    <row r="34" ht="17" customHeight="1">
      <c r="B34" s="13" t="n">
        <v>23</v>
      </c>
      <c r="C34" s="13" t="inlineStr">
        <is>
          <t>세나테크놀로지</t>
        </is>
      </c>
      <c r="D34" s="13" t="n">
        <v>58.2</v>
      </c>
      <c r="E34" s="13" t="n">
        <v>75.59999999999999</v>
      </c>
      <c r="F34" s="13" t="n">
        <v>32.7</v>
      </c>
      <c r="G34" s="13" t="n">
        <v>95.59999999999999</v>
      </c>
      <c r="H34" s="13" t="n">
        <v>57.99937129841109</v>
      </c>
      <c r="I34" s="19" t="inlineStr">
        <is>
          <t>C</t>
        </is>
      </c>
      <c r="J34" s="13" t="inlineStr"/>
      <c r="K34" s="13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/>
      </c>
      <c r="L34" s="16">
        <f>IFERROR(D34-INDEX(전체_전일자!1:1048576,MATCH(C34,전체_전일자!B:B,0),MATCH("종합스코어",전체_전일자!1:1,0)),"")</f>
        <v/>
      </c>
      <c r="M34" s="16">
        <f>IFERROR(E34-INDEX(전체_전일자!1:1048576,MATCH(C34,전체_전일자!B:B,0),MATCH("모멘텀스코어",전체_전일자!1:1,0)),"")</f>
        <v/>
      </c>
      <c r="N34" s="16">
        <f>IFERROR(F34-INDEX(전체_전일자!1:1048576,MATCH(C34,전체_전일자!B:B,0),MATCH("수급스코어",전체_전일자!1:1,0)),"")</f>
        <v/>
      </c>
      <c r="O34" s="16">
        <f>IFERROR(G34-INDEX(전체_전일자!1:1048576,MATCH(C34,전체_전일자!B:B,0),MATCH("거래량스코어",전체_전일자!1:1,0)),"")</f>
        <v/>
      </c>
    </row>
    <row r="35" ht="17" customHeight="1">
      <c r="B35" s="17" t="n">
        <v>24</v>
      </c>
      <c r="C35" s="17" t="inlineStr">
        <is>
          <t>아이스크림미디어</t>
        </is>
      </c>
      <c r="D35" s="17" t="n">
        <v>58.2</v>
      </c>
      <c r="E35" s="17" t="n">
        <v>55.9</v>
      </c>
      <c r="F35" s="17" t="n">
        <v>48.1</v>
      </c>
      <c r="G35" s="17" t="n">
        <v>86.7</v>
      </c>
      <c r="H35" s="17" t="n">
        <v>44.80855522960361</v>
      </c>
      <c r="I35" s="19" t="inlineStr">
        <is>
          <t>C</t>
        </is>
      </c>
      <c r="J35" s="17" t="inlineStr"/>
      <c r="K35" s="17">
        <f>IFERROR(IF(I35=INDEX(전체_전일자!1:1048576,MATCH(C35,전체_전일자!B:B,0),MATCH("등급",전체_전일자!1:1,0)),"유지",INDEX(전체_전일자!1:1048576,MATCH(C35,전체_전일자!B:B,0),MATCH("등급",전체_전일자!1:1,0))&amp;" → "&amp;I35),"")</f>
        <v/>
      </c>
      <c r="L35" s="18">
        <f>IFERROR(D35-INDEX(전체_전일자!1:1048576,MATCH(C35,전체_전일자!B:B,0),MATCH("종합스코어",전체_전일자!1:1,0)),"")</f>
        <v/>
      </c>
      <c r="M35" s="18">
        <f>IFERROR(E35-INDEX(전체_전일자!1:1048576,MATCH(C35,전체_전일자!B:B,0),MATCH("모멘텀스코어",전체_전일자!1:1,0)),"")</f>
        <v/>
      </c>
      <c r="N35" s="18">
        <f>IFERROR(F35-INDEX(전체_전일자!1:1048576,MATCH(C35,전체_전일자!B:B,0),MATCH("수급스코어",전체_전일자!1:1,0)),"")</f>
        <v/>
      </c>
      <c r="O35" s="18">
        <f>IFERROR(G35-INDEX(전체_전일자!1:1048576,MATCH(C35,전체_전일자!B:B,0),MATCH("거래량스코어",전체_전일자!1:1,0)),"")</f>
        <v/>
      </c>
    </row>
    <row r="36" ht="17" customHeight="1">
      <c r="B36" s="13" t="n">
        <v>25</v>
      </c>
      <c r="C36" s="13" t="inlineStr">
        <is>
          <t>엠오티</t>
        </is>
      </c>
      <c r="D36" s="13" t="n">
        <v>57.8</v>
      </c>
      <c r="E36" s="13" t="n">
        <v>64.09999999999999</v>
      </c>
      <c r="F36" s="13" t="n">
        <v>43.9</v>
      </c>
      <c r="G36" s="13" t="n">
        <v>83</v>
      </c>
      <c r="H36" s="13" t="n">
        <v>38.43828089807334</v>
      </c>
      <c r="I36" s="19" t="inlineStr">
        <is>
          <t>C</t>
        </is>
      </c>
      <c r="J36" s="13" t="inlineStr"/>
      <c r="K36" s="13">
        <f>IFERROR(IF(I36=INDEX(전체_전일자!1:1048576,MATCH(C36,전체_전일자!B:B,0),MATCH("등급",전체_전일자!1:1,0)),"유지",INDEX(전체_전일자!1:1048576,MATCH(C36,전체_전일자!B:B,0),MATCH("등급",전체_전일자!1:1,0))&amp;" → "&amp;I36),"")</f>
        <v/>
      </c>
      <c r="L36" s="16">
        <f>IFERROR(D36-INDEX(전체_전일자!1:1048576,MATCH(C36,전체_전일자!B:B,0),MATCH("종합스코어",전체_전일자!1:1,0)),"")</f>
        <v/>
      </c>
      <c r="M36" s="16">
        <f>IFERROR(E36-INDEX(전체_전일자!1:1048576,MATCH(C36,전체_전일자!B:B,0),MATCH("모멘텀스코어",전체_전일자!1:1,0)),"")</f>
        <v/>
      </c>
      <c r="N36" s="16">
        <f>IFERROR(F36-INDEX(전체_전일자!1:1048576,MATCH(C36,전체_전일자!B:B,0),MATCH("수급스코어",전체_전일자!1:1,0)),"")</f>
        <v/>
      </c>
      <c r="O36" s="16">
        <f>IFERROR(G36-INDEX(전체_전일자!1:1048576,MATCH(C36,전체_전일자!B:B,0),MATCH("거래량스코어",전체_전일자!1:1,0)),"")</f>
        <v/>
      </c>
    </row>
    <row r="37" ht="17" customHeight="1">
      <c r="B37" s="17" t="n">
        <v>26</v>
      </c>
      <c r="C37" s="17" t="inlineStr">
        <is>
          <t>인투셀</t>
        </is>
      </c>
      <c r="D37" s="17" t="n">
        <v>57.2</v>
      </c>
      <c r="E37" s="17" t="n">
        <v>28.7</v>
      </c>
      <c r="F37" s="17" t="n">
        <v>74.3</v>
      </c>
      <c r="G37" s="17" t="n">
        <v>57</v>
      </c>
      <c r="H37" s="17" t="n">
        <v>24.57758536025586</v>
      </c>
      <c r="I37" s="19" t="inlineStr">
        <is>
          <t>C</t>
        </is>
      </c>
      <c r="J37" s="17" t="inlineStr"/>
      <c r="K37" s="17">
        <f>IFERROR(IF(I37=INDEX(전체_전일자!1:1048576,MATCH(C37,전체_전일자!B:B,0),MATCH("등급",전체_전일자!1:1,0)),"유지",INDEX(전체_전일자!1:1048576,MATCH(C37,전체_전일자!B:B,0),MATCH("등급",전체_전일자!1:1,0))&amp;" → "&amp;I37),"")</f>
        <v/>
      </c>
      <c r="L37" s="18">
        <f>IFERROR(D37-INDEX(전체_전일자!1:1048576,MATCH(C37,전체_전일자!B:B,0),MATCH("종합스코어",전체_전일자!1:1,0)),"")</f>
        <v/>
      </c>
      <c r="M37" s="18">
        <f>IFERROR(E37-INDEX(전체_전일자!1:1048576,MATCH(C37,전체_전일자!B:B,0),MATCH("모멘텀스코어",전체_전일자!1:1,0)),"")</f>
        <v/>
      </c>
      <c r="N37" s="18">
        <f>IFERROR(F37-INDEX(전체_전일자!1:1048576,MATCH(C37,전체_전일자!B:B,0),MATCH("수급스코어",전체_전일자!1:1,0)),"")</f>
        <v/>
      </c>
      <c r="O37" s="18">
        <f>IFERROR(G37-INDEX(전체_전일자!1:1048576,MATCH(C37,전체_전일자!B:B,0),MATCH("거래량스코어",전체_전일자!1:1,0)),"")</f>
        <v/>
      </c>
    </row>
    <row r="38" ht="17" customHeight="1">
      <c r="B38" s="13" t="n">
        <v>27</v>
      </c>
      <c r="C38" s="13" t="inlineStr">
        <is>
          <t>삼양엔씨켐</t>
        </is>
      </c>
      <c r="D38" s="13" t="n">
        <v>57</v>
      </c>
      <c r="E38" s="13" t="n">
        <v>63.4</v>
      </c>
      <c r="F38" s="13" t="n">
        <v>45.8</v>
      </c>
      <c r="G38" s="13" t="n">
        <v>75.59999999999999</v>
      </c>
      <c r="H38" s="13" t="n">
        <v>37.28672051478913</v>
      </c>
      <c r="I38" s="19" t="inlineStr">
        <is>
          <t>C</t>
        </is>
      </c>
      <c r="J38" s="13" t="inlineStr"/>
      <c r="K38" s="13">
        <f>IFERROR(IF(I38=INDEX(전체_전일자!1:1048576,MATCH(C38,전체_전일자!B:B,0),MATCH("등급",전체_전일자!1:1,0)),"유지",INDEX(전체_전일자!1:1048576,MATCH(C38,전체_전일자!B:B,0),MATCH("등급",전체_전일자!1:1,0))&amp;" → "&amp;I38),"")</f>
        <v/>
      </c>
      <c r="L38" s="16">
        <f>IFERROR(D38-INDEX(전체_전일자!1:1048576,MATCH(C38,전체_전일자!B:B,0),MATCH("종합스코어",전체_전일자!1:1,0)),"")</f>
        <v/>
      </c>
      <c r="M38" s="16">
        <f>IFERROR(E38-INDEX(전체_전일자!1:1048576,MATCH(C38,전체_전일자!B:B,0),MATCH("모멘텀스코어",전체_전일자!1:1,0)),"")</f>
        <v/>
      </c>
      <c r="N38" s="16">
        <f>IFERROR(F38-INDEX(전체_전일자!1:1048576,MATCH(C38,전체_전일자!B:B,0),MATCH("수급스코어",전체_전일자!1:1,0)),"")</f>
        <v/>
      </c>
      <c r="O38" s="16">
        <f>IFERROR(G38-INDEX(전체_전일자!1:1048576,MATCH(C38,전체_전일자!B:B,0),MATCH("거래량스코어",전체_전일자!1:1,0)),"")</f>
        <v/>
      </c>
    </row>
    <row r="39" ht="17" customHeight="1">
      <c r="B39" s="17" t="n">
        <v>28</v>
      </c>
      <c r="C39" s="17" t="inlineStr">
        <is>
          <t>셀비온</t>
        </is>
      </c>
      <c r="D39" s="17" t="n">
        <v>56.6</v>
      </c>
      <c r="E39" s="17" t="n">
        <v>12</v>
      </c>
      <c r="F39" s="17" t="n">
        <v>78.5</v>
      </c>
      <c r="G39" s="17" t="n">
        <v>68.90000000000001</v>
      </c>
      <c r="H39" s="17" t="n">
        <v>20.82335022934055</v>
      </c>
      <c r="I39" s="19" t="inlineStr">
        <is>
          <t>C</t>
        </is>
      </c>
      <c r="J39" s="17" t="inlineStr"/>
      <c r="K39" s="17">
        <f>IFERROR(IF(I39=INDEX(전체_전일자!1:1048576,MATCH(C39,전체_전일자!B:B,0),MATCH("등급",전체_전일자!1:1,0)),"유지",INDEX(전체_전일자!1:1048576,MATCH(C39,전체_전일자!B:B,0),MATCH("등급",전체_전일자!1:1,0))&amp;" → "&amp;I39),"")</f>
        <v/>
      </c>
      <c r="L39" s="18">
        <f>IFERROR(D39-INDEX(전체_전일자!1:1048576,MATCH(C39,전체_전일자!B:B,0),MATCH("종합스코어",전체_전일자!1:1,0)),"")</f>
        <v/>
      </c>
      <c r="M39" s="18">
        <f>IFERROR(E39-INDEX(전체_전일자!1:1048576,MATCH(C39,전체_전일자!B:B,0),MATCH("모멘텀스코어",전체_전일자!1:1,0)),"")</f>
        <v/>
      </c>
      <c r="N39" s="18">
        <f>IFERROR(F39-INDEX(전체_전일자!1:1048576,MATCH(C39,전체_전일자!B:B,0),MATCH("수급스코어",전체_전일자!1:1,0)),"")</f>
        <v/>
      </c>
      <c r="O39" s="18">
        <f>IFERROR(G39-INDEX(전체_전일자!1:1048576,MATCH(C39,전체_전일자!B:B,0),MATCH("거래량스코어",전체_전일자!1:1,0)),"")</f>
        <v/>
      </c>
    </row>
    <row r="40" ht="17" customHeight="1">
      <c r="B40" s="13" t="n">
        <v>29</v>
      </c>
      <c r="C40" s="13" t="inlineStr">
        <is>
          <t>엘케이켐</t>
        </is>
      </c>
      <c r="D40" s="13" t="n">
        <v>56.2</v>
      </c>
      <c r="E40" s="13" t="n">
        <v>49.2</v>
      </c>
      <c r="F40" s="13" t="n">
        <v>71</v>
      </c>
      <c r="G40" s="13" t="n">
        <v>29.6</v>
      </c>
      <c r="H40" s="13" t="n">
        <v>37.84524360894386</v>
      </c>
      <c r="I40" s="19" t="inlineStr">
        <is>
          <t>C</t>
        </is>
      </c>
      <c r="J40" s="13" t="inlineStr"/>
      <c r="K40" s="13">
        <f>IFERROR(IF(I40=INDEX(전체_전일자!1:1048576,MATCH(C40,전체_전일자!B:B,0),MATCH("등급",전체_전일자!1:1,0)),"유지",INDEX(전체_전일자!1:1048576,MATCH(C40,전체_전일자!B:B,0),MATCH("등급",전체_전일자!1:1,0))&amp;" → "&amp;I40),"")</f>
        <v/>
      </c>
      <c r="L40" s="16">
        <f>IFERROR(D40-INDEX(전체_전일자!1:1048576,MATCH(C40,전체_전일자!B:B,0),MATCH("종합스코어",전체_전일자!1:1,0)),"")</f>
        <v/>
      </c>
      <c r="M40" s="16">
        <f>IFERROR(E40-INDEX(전체_전일자!1:1048576,MATCH(C40,전체_전일자!B:B,0),MATCH("모멘텀스코어",전체_전일자!1:1,0)),"")</f>
        <v/>
      </c>
      <c r="N40" s="16">
        <f>IFERROR(F40-INDEX(전체_전일자!1:1048576,MATCH(C40,전체_전일자!B:B,0),MATCH("수급스코어",전체_전일자!1:1,0)),"")</f>
        <v/>
      </c>
      <c r="O40" s="16">
        <f>IFERROR(G40-INDEX(전체_전일자!1:1048576,MATCH(C40,전체_전일자!B:B,0),MATCH("거래량스코어",전체_전일자!1:1,0)),"")</f>
        <v/>
      </c>
    </row>
    <row r="41" ht="17" customHeight="1">
      <c r="B41" s="17" t="n">
        <v>30</v>
      </c>
      <c r="C41" s="17" t="inlineStr">
        <is>
          <t>하이젠알앤엠</t>
        </is>
      </c>
      <c r="D41" s="17" t="n">
        <v>55.5</v>
      </c>
      <c r="E41" s="17" t="n">
        <v>36.1</v>
      </c>
      <c r="F41" s="17" t="n">
        <v>68.59999999999999</v>
      </c>
      <c r="G41" s="17" t="n">
        <v>51.9</v>
      </c>
      <c r="H41" s="17" t="n">
        <v>33.02631776002978</v>
      </c>
      <c r="I41" s="19" t="inlineStr">
        <is>
          <t>C</t>
        </is>
      </c>
      <c r="J41" s="17" t="inlineStr"/>
      <c r="K41" s="17">
        <f>IFERROR(IF(I41=INDEX(전체_전일자!1:1048576,MATCH(C41,전체_전일자!B:B,0),MATCH("등급",전체_전일자!1:1,0)),"유지",INDEX(전체_전일자!1:1048576,MATCH(C41,전체_전일자!B:B,0),MATCH("등급",전체_전일자!1:1,0))&amp;" → "&amp;I41),"")</f>
        <v/>
      </c>
      <c r="L41" s="18">
        <f>IFERROR(D41-INDEX(전체_전일자!1:1048576,MATCH(C41,전체_전일자!B:B,0),MATCH("종합스코어",전체_전일자!1:1,0)),"")</f>
        <v/>
      </c>
      <c r="M41" s="18">
        <f>IFERROR(E41-INDEX(전체_전일자!1:1048576,MATCH(C41,전체_전일자!B:B,0),MATCH("모멘텀스코어",전체_전일자!1:1,0)),"")</f>
        <v/>
      </c>
      <c r="N41" s="18">
        <f>IFERROR(F41-INDEX(전체_전일자!1:1048576,MATCH(C41,전체_전일자!B:B,0),MATCH("수급스코어",전체_전일자!1:1,0)),"")</f>
        <v/>
      </c>
      <c r="O41" s="18">
        <f>IFERROR(G41-INDEX(전체_전일자!1:1048576,MATCH(C41,전체_전일자!B:B,0),MATCH("거래량스코어",전체_전일자!1:1,0)),"")</f>
        <v/>
      </c>
    </row>
    <row r="42" ht="17" customHeight="1">
      <c r="B42" s="13" t="n">
        <v>31</v>
      </c>
      <c r="C42" s="13" t="inlineStr">
        <is>
          <t>아이티켐</t>
        </is>
      </c>
      <c r="D42" s="13" t="n">
        <v>55.4</v>
      </c>
      <c r="E42" s="13" t="n">
        <v>60.8</v>
      </c>
      <c r="F42" s="13" t="n">
        <v>54.4</v>
      </c>
      <c r="G42" s="13" t="n">
        <v>50</v>
      </c>
      <c r="H42" s="13" t="n">
        <v>48.75195620128412</v>
      </c>
      <c r="I42" s="19" t="inlineStr">
        <is>
          <t>C</t>
        </is>
      </c>
      <c r="J42" s="13" t="inlineStr"/>
      <c r="K42" s="13">
        <f>IFERROR(IF(I42=INDEX(전체_전일자!1:1048576,MATCH(C42,전체_전일자!B:B,0),MATCH("등급",전체_전일자!1:1,0)),"유지",INDEX(전체_전일자!1:1048576,MATCH(C42,전체_전일자!B:B,0),MATCH("등급",전체_전일자!1:1,0))&amp;" → "&amp;I42),"")</f>
        <v/>
      </c>
      <c r="L42" s="16">
        <f>IFERROR(D42-INDEX(전체_전일자!1:1048576,MATCH(C42,전체_전일자!B:B,0),MATCH("종합스코어",전체_전일자!1:1,0)),"")</f>
        <v/>
      </c>
      <c r="M42" s="16">
        <f>IFERROR(E42-INDEX(전체_전일자!1:1048576,MATCH(C42,전체_전일자!B:B,0),MATCH("모멘텀스코어",전체_전일자!1:1,0)),"")</f>
        <v/>
      </c>
      <c r="N42" s="16">
        <f>IFERROR(F42-INDEX(전체_전일자!1:1048576,MATCH(C42,전체_전일자!B:B,0),MATCH("수급스코어",전체_전일자!1:1,0)),"")</f>
        <v/>
      </c>
      <c r="O42" s="16">
        <f>IFERROR(G42-INDEX(전체_전일자!1:1048576,MATCH(C42,전체_전일자!B:B,0),MATCH("거래량스코어",전체_전일자!1:1,0)),"")</f>
        <v/>
      </c>
    </row>
    <row r="43" ht="17" customHeight="1">
      <c r="B43" s="17" t="n">
        <v>32</v>
      </c>
      <c r="C43" s="17" t="inlineStr">
        <is>
          <t>티디에스팜</t>
        </is>
      </c>
      <c r="D43" s="17" t="n">
        <v>55</v>
      </c>
      <c r="E43" s="17" t="n">
        <v>40</v>
      </c>
      <c r="F43" s="17" t="n">
        <v>53.7</v>
      </c>
      <c r="G43" s="17" t="n">
        <v>80.7</v>
      </c>
      <c r="H43" s="17" t="n">
        <v>30.17775756848875</v>
      </c>
      <c r="I43" s="19" t="inlineStr">
        <is>
          <t>C</t>
        </is>
      </c>
      <c r="J43" s="17" t="inlineStr"/>
      <c r="K43" s="17">
        <f>IFERROR(IF(I43=INDEX(전체_전일자!1:1048576,MATCH(C43,전체_전일자!B:B,0),MATCH("등급",전체_전일자!1:1,0)),"유지",INDEX(전체_전일자!1:1048576,MATCH(C43,전체_전일자!B:B,0),MATCH("등급",전체_전일자!1:1,0))&amp;" → "&amp;I43),"")</f>
        <v/>
      </c>
      <c r="L43" s="18">
        <f>IFERROR(D43-INDEX(전체_전일자!1:1048576,MATCH(C43,전체_전일자!B:B,0),MATCH("종합스코어",전체_전일자!1:1,0)),"")</f>
        <v/>
      </c>
      <c r="M43" s="18">
        <f>IFERROR(E43-INDEX(전체_전일자!1:1048576,MATCH(C43,전체_전일자!B:B,0),MATCH("모멘텀스코어",전체_전일자!1:1,0)),"")</f>
        <v/>
      </c>
      <c r="N43" s="18">
        <f>IFERROR(F43-INDEX(전체_전일자!1:1048576,MATCH(C43,전체_전일자!B:B,0),MATCH("수급스코어",전체_전일자!1:1,0)),"")</f>
        <v/>
      </c>
      <c r="O43" s="18">
        <f>IFERROR(G43-INDEX(전체_전일자!1:1048576,MATCH(C43,전체_전일자!B:B,0),MATCH("거래량스코어",전체_전일자!1:1,0)),"")</f>
        <v/>
      </c>
    </row>
    <row r="44" ht="17" customHeight="1">
      <c r="B44" s="13" t="n">
        <v>33</v>
      </c>
      <c r="C44" s="13" t="inlineStr">
        <is>
          <t>서울보증보험</t>
        </is>
      </c>
      <c r="D44" s="13" t="n">
        <v>54.6</v>
      </c>
      <c r="E44" s="13" t="n">
        <v>57.7</v>
      </c>
      <c r="F44" s="13" t="n">
        <v>49.1</v>
      </c>
      <c r="G44" s="13" t="n">
        <v>63.7</v>
      </c>
      <c r="H44" s="13" t="n">
        <v>37.13082853547521</v>
      </c>
      <c r="I44" s="19" t="inlineStr">
        <is>
          <t>C</t>
        </is>
      </c>
      <c r="J44" s="13" t="inlineStr"/>
      <c r="K44" s="13">
        <f>IFERROR(IF(I44=INDEX(전체_전일자!1:1048576,MATCH(C44,전체_전일자!B:B,0),MATCH("등급",전체_전일자!1:1,0)),"유지",INDEX(전체_전일자!1:1048576,MATCH(C44,전체_전일자!B:B,0),MATCH("등급",전체_전일자!1:1,0))&amp;" → "&amp;I44),"")</f>
        <v/>
      </c>
      <c r="L44" s="16">
        <f>IFERROR(D44-INDEX(전체_전일자!1:1048576,MATCH(C44,전체_전일자!B:B,0),MATCH("종합스코어",전체_전일자!1:1,0)),"")</f>
        <v/>
      </c>
      <c r="M44" s="16">
        <f>IFERROR(E44-INDEX(전체_전일자!1:1048576,MATCH(C44,전체_전일자!B:B,0),MATCH("모멘텀스코어",전체_전일자!1:1,0)),"")</f>
        <v/>
      </c>
      <c r="N44" s="16">
        <f>IFERROR(F44-INDEX(전체_전일자!1:1048576,MATCH(C44,전체_전일자!B:B,0),MATCH("수급스코어",전체_전일자!1:1,0)),"")</f>
        <v/>
      </c>
      <c r="O44" s="16">
        <f>IFERROR(G44-INDEX(전체_전일자!1:1048576,MATCH(C44,전체_전일자!B:B,0),MATCH("거래량스코어",전체_전일자!1:1,0)),"")</f>
        <v/>
      </c>
    </row>
    <row r="45" ht="17" customHeight="1">
      <c r="B45" s="17" t="n">
        <v>34</v>
      </c>
      <c r="C45" s="17" t="inlineStr">
        <is>
          <t>노타</t>
        </is>
      </c>
      <c r="D45" s="17" t="n">
        <v>54.6</v>
      </c>
      <c r="E45" s="17" t="n">
        <v>98</v>
      </c>
      <c r="F45" s="17" t="n">
        <v>11.2</v>
      </c>
      <c r="G45" s="17" t="n">
        <v>97.8</v>
      </c>
      <c r="H45" s="17" t="n">
        <v>60.28105858483153</v>
      </c>
      <c r="I45" s="19" t="inlineStr">
        <is>
          <t>C</t>
        </is>
      </c>
      <c r="J45" s="17" t="inlineStr"/>
      <c r="K45" s="17">
        <f>IFERROR(IF(I45=INDEX(전체_전일자!1:1048576,MATCH(C45,전체_전일자!B:B,0),MATCH("등급",전체_전일자!1:1,0)),"유지",INDEX(전체_전일자!1:1048576,MATCH(C45,전체_전일자!B:B,0),MATCH("등급",전체_전일자!1:1,0))&amp;" → "&amp;I45),"")</f>
        <v/>
      </c>
      <c r="L45" s="18">
        <f>IFERROR(D45-INDEX(전체_전일자!1:1048576,MATCH(C45,전체_전일자!B:B,0),MATCH("종합스코어",전체_전일자!1:1,0)),"")</f>
        <v/>
      </c>
      <c r="M45" s="18">
        <f>IFERROR(E45-INDEX(전체_전일자!1:1048576,MATCH(C45,전체_전일자!B:B,0),MATCH("모멘텀스코어",전체_전일자!1:1,0)),"")</f>
        <v/>
      </c>
      <c r="N45" s="18">
        <f>IFERROR(F45-INDEX(전체_전일자!1:1048576,MATCH(C45,전체_전일자!B:B,0),MATCH("수급스코어",전체_전일자!1:1,0)),"")</f>
        <v/>
      </c>
      <c r="O45" s="18">
        <f>IFERROR(G45-INDEX(전체_전일자!1:1048576,MATCH(C45,전체_전일자!B:B,0),MATCH("거래량스코어",전체_전일자!1:1,0)),"")</f>
        <v/>
      </c>
    </row>
    <row r="46" ht="17" customHeight="1">
      <c r="B46" s="13" t="n">
        <v>35</v>
      </c>
      <c r="C46" s="13" t="inlineStr">
        <is>
          <t>온코크로스</t>
        </is>
      </c>
      <c r="D46" s="13" t="n">
        <v>54.5</v>
      </c>
      <c r="E46" s="13" t="n">
        <v>21.3</v>
      </c>
      <c r="F46" s="13" t="n">
        <v>64.5</v>
      </c>
      <c r="G46" s="13" t="n">
        <v>79.3</v>
      </c>
      <c r="H46" s="13" t="n">
        <v>28.04204756373867</v>
      </c>
      <c r="I46" s="19" t="inlineStr">
        <is>
          <t>C</t>
        </is>
      </c>
      <c r="J46" s="13" t="inlineStr"/>
      <c r="K46" s="13">
        <f>IFERROR(IF(I46=INDEX(전체_전일자!1:1048576,MATCH(C46,전체_전일자!B:B,0),MATCH("등급",전체_전일자!1:1,0)),"유지",INDEX(전체_전일자!1:1048576,MATCH(C46,전체_전일자!B:B,0),MATCH("등급",전체_전일자!1:1,0))&amp;" → "&amp;I46),"")</f>
        <v/>
      </c>
      <c r="L46" s="16">
        <f>IFERROR(D46-INDEX(전체_전일자!1:1048576,MATCH(C46,전체_전일자!B:B,0),MATCH("종합스코어",전체_전일자!1:1,0)),"")</f>
        <v/>
      </c>
      <c r="M46" s="16">
        <f>IFERROR(E46-INDEX(전체_전일자!1:1048576,MATCH(C46,전체_전일자!B:B,0),MATCH("모멘텀스코어",전체_전일자!1:1,0)),"")</f>
        <v/>
      </c>
      <c r="N46" s="16">
        <f>IFERROR(F46-INDEX(전체_전일자!1:1048576,MATCH(C46,전체_전일자!B:B,0),MATCH("수급스코어",전체_전일자!1:1,0)),"")</f>
        <v/>
      </c>
      <c r="O46" s="16">
        <f>IFERROR(G46-INDEX(전체_전일자!1:1048576,MATCH(C46,전체_전일자!B:B,0),MATCH("거래량스코어",전체_전일자!1:1,0)),"")</f>
        <v/>
      </c>
    </row>
    <row r="47" ht="17" customHeight="1">
      <c r="B47" s="17" t="n">
        <v>36</v>
      </c>
      <c r="C47" s="17" t="inlineStr">
        <is>
          <t>싸이닉솔루션</t>
        </is>
      </c>
      <c r="D47" s="17" t="n">
        <v>53.4</v>
      </c>
      <c r="E47" s="17" t="n">
        <v>27.2</v>
      </c>
      <c r="F47" s="17" t="n">
        <v>65.59999999999999</v>
      </c>
      <c r="G47" s="17" t="n">
        <v>62.2</v>
      </c>
      <c r="H47" s="17" t="n">
        <v>24.55316929938218</v>
      </c>
      <c r="I47" s="19" t="inlineStr">
        <is>
          <t>C</t>
        </is>
      </c>
      <c r="J47" s="17" t="inlineStr"/>
      <c r="K47" s="17">
        <f>IFERROR(IF(I47=INDEX(전체_전일자!1:1048576,MATCH(C47,전체_전일자!B:B,0),MATCH("등급",전체_전일자!1:1,0)),"유지",INDEX(전체_전일자!1:1048576,MATCH(C47,전체_전일자!B:B,0),MATCH("등급",전체_전일자!1:1,0))&amp;" → "&amp;I47),"")</f>
        <v/>
      </c>
      <c r="L47" s="18">
        <f>IFERROR(D47-INDEX(전체_전일자!1:1048576,MATCH(C47,전체_전일자!B:B,0),MATCH("종합스코어",전체_전일자!1:1,0)),"")</f>
        <v/>
      </c>
      <c r="M47" s="18">
        <f>IFERROR(E47-INDEX(전체_전일자!1:1048576,MATCH(C47,전체_전일자!B:B,0),MATCH("모멘텀스코어",전체_전일자!1:1,0)),"")</f>
        <v/>
      </c>
      <c r="N47" s="18">
        <f>IFERROR(F47-INDEX(전체_전일자!1:1048576,MATCH(C47,전체_전일자!B:B,0),MATCH("수급스코어",전체_전일자!1:1,0)),"")</f>
        <v/>
      </c>
      <c r="O47" s="18">
        <f>IFERROR(G47-INDEX(전체_전일자!1:1048576,MATCH(C47,전체_전일자!B:B,0),MATCH("거래량스코어",전체_전일자!1:1,0)),"")</f>
        <v/>
      </c>
    </row>
    <row r="48" ht="17" customHeight="1">
      <c r="B48" s="13" t="n">
        <v>37</v>
      </c>
      <c r="C48" s="13" t="inlineStr">
        <is>
          <t>프로티나</t>
        </is>
      </c>
      <c r="D48" s="13" t="n">
        <v>53.3</v>
      </c>
      <c r="E48" s="13" t="n">
        <v>42</v>
      </c>
      <c r="F48" s="13" t="n">
        <v>52</v>
      </c>
      <c r="G48" s="13" t="n">
        <v>73.3</v>
      </c>
      <c r="H48" s="13" t="n">
        <v>26.4240755187279</v>
      </c>
      <c r="I48" s="19" t="inlineStr">
        <is>
          <t>C</t>
        </is>
      </c>
      <c r="J48" s="13" t="inlineStr"/>
      <c r="K48" s="13">
        <f>IFERROR(IF(I48=INDEX(전체_전일자!1:1048576,MATCH(C48,전체_전일자!B:B,0),MATCH("등급",전체_전일자!1:1,0)),"유지",INDEX(전체_전일자!1:1048576,MATCH(C48,전체_전일자!B:B,0),MATCH("등급",전체_전일자!1:1,0))&amp;" → "&amp;I48),"")</f>
        <v/>
      </c>
      <c r="L48" s="16">
        <f>IFERROR(D48-INDEX(전체_전일자!1:1048576,MATCH(C48,전체_전일자!B:B,0),MATCH("종합스코어",전체_전일자!1:1,0)),"")</f>
        <v/>
      </c>
      <c r="M48" s="16">
        <f>IFERROR(E48-INDEX(전체_전일자!1:1048576,MATCH(C48,전체_전일자!B:B,0),MATCH("모멘텀스코어",전체_전일자!1:1,0)),"")</f>
        <v/>
      </c>
      <c r="N48" s="16">
        <f>IFERROR(F48-INDEX(전체_전일자!1:1048576,MATCH(C48,전체_전일자!B:B,0),MATCH("수급스코어",전체_전일자!1:1,0)),"")</f>
        <v/>
      </c>
      <c r="O48" s="16">
        <f>IFERROR(G48-INDEX(전체_전일자!1:1048576,MATCH(C48,전체_전일자!B:B,0),MATCH("거래량스코어",전체_전일자!1:1,0)),"")</f>
        <v/>
      </c>
    </row>
    <row r="49" ht="17" customHeight="1">
      <c r="B49" s="17" t="n">
        <v>38</v>
      </c>
      <c r="C49" s="17" t="inlineStr">
        <is>
          <t>LG씨엔에스</t>
        </is>
      </c>
      <c r="D49" s="17" t="n">
        <v>53.2</v>
      </c>
      <c r="E49" s="17" t="n">
        <v>71.5</v>
      </c>
      <c r="F49" s="17" t="n">
        <v>30.7</v>
      </c>
      <c r="G49" s="17" t="n">
        <v>82.2</v>
      </c>
      <c r="H49" s="17" t="n">
        <v>68.98448802787466</v>
      </c>
      <c r="I49" s="19" t="inlineStr">
        <is>
          <t>C</t>
        </is>
      </c>
      <c r="J49" s="17" t="inlineStr"/>
      <c r="K49" s="17">
        <f>IFERROR(IF(I49=INDEX(전체_전일자!1:1048576,MATCH(C49,전체_전일자!B:B,0),MATCH("등급",전체_전일자!1:1,0)),"유지",INDEX(전체_전일자!1:1048576,MATCH(C49,전체_전일자!B:B,0),MATCH("등급",전체_전일자!1:1,0))&amp;" → "&amp;I49),"")</f>
        <v/>
      </c>
      <c r="L49" s="18">
        <f>IFERROR(D49-INDEX(전체_전일자!1:1048576,MATCH(C49,전체_전일자!B:B,0),MATCH("종합스코어",전체_전일자!1:1,0)),"")</f>
        <v/>
      </c>
      <c r="M49" s="18">
        <f>IFERROR(E49-INDEX(전체_전일자!1:1048576,MATCH(C49,전체_전일자!B:B,0),MATCH("모멘텀스코어",전체_전일자!1:1,0)),"")</f>
        <v/>
      </c>
      <c r="N49" s="18">
        <f>IFERROR(F49-INDEX(전체_전일자!1:1048576,MATCH(C49,전체_전일자!B:B,0),MATCH("수급스코어",전체_전일자!1:1,0)),"")</f>
        <v/>
      </c>
      <c r="O49" s="18">
        <f>IFERROR(G49-INDEX(전체_전일자!1:1048576,MATCH(C49,전체_전일자!B:B,0),MATCH("거래량스코어",전체_전일자!1:1,0)),"")</f>
        <v/>
      </c>
    </row>
    <row r="50" ht="17" customHeight="1">
      <c r="B50" s="13" t="n">
        <v>39</v>
      </c>
      <c r="C50" s="13" t="inlineStr">
        <is>
          <t>HEM파마</t>
        </is>
      </c>
      <c r="D50" s="13" t="n">
        <v>53.1</v>
      </c>
      <c r="E50" s="13" t="n">
        <v>61.3</v>
      </c>
      <c r="F50" s="13" t="n">
        <v>42.5</v>
      </c>
      <c r="G50" s="13" t="n">
        <v>67.40000000000001</v>
      </c>
      <c r="H50" s="13" t="n">
        <v>35.28452990585627</v>
      </c>
      <c r="I50" s="19" t="inlineStr">
        <is>
          <t>C</t>
        </is>
      </c>
      <c r="J50" s="13" t="inlineStr"/>
      <c r="K50" s="13">
        <f>IFERROR(IF(I50=INDEX(전체_전일자!1:1048576,MATCH(C50,전체_전일자!B:B,0),MATCH("등급",전체_전일자!1:1,0)),"유지",INDEX(전체_전일자!1:1048576,MATCH(C50,전체_전일자!B:B,0),MATCH("등급",전체_전일자!1:1,0))&amp;" → "&amp;I50),"")</f>
        <v/>
      </c>
      <c r="L50" s="16">
        <f>IFERROR(D50-INDEX(전체_전일자!1:1048576,MATCH(C50,전체_전일자!B:B,0),MATCH("종합스코어",전체_전일자!1:1,0)),"")</f>
        <v/>
      </c>
      <c r="M50" s="16">
        <f>IFERROR(E50-INDEX(전체_전일자!1:1048576,MATCH(C50,전체_전일자!B:B,0),MATCH("모멘텀스코어",전체_전일자!1:1,0)),"")</f>
        <v/>
      </c>
      <c r="N50" s="16">
        <f>IFERROR(F50-INDEX(전체_전일자!1:1048576,MATCH(C50,전체_전일자!B:B,0),MATCH("수급스코어",전체_전일자!1:1,0)),"")</f>
        <v/>
      </c>
      <c r="O50" s="16">
        <f>IFERROR(G50-INDEX(전체_전일자!1:1048576,MATCH(C50,전체_전일자!B:B,0),MATCH("거래량스코어",전체_전일자!1:1,0)),"")</f>
        <v/>
      </c>
    </row>
    <row r="51" ht="17" customHeight="1">
      <c r="B51" s="17" t="n">
        <v>40</v>
      </c>
      <c r="C51" s="17" t="inlineStr">
        <is>
          <t>대진첨단소재</t>
        </is>
      </c>
      <c r="D51" s="17" t="n">
        <v>53</v>
      </c>
      <c r="E51" s="17" t="n">
        <v>52.7</v>
      </c>
      <c r="F51" s="17" t="n">
        <v>54.4</v>
      </c>
      <c r="G51" s="17" t="n">
        <v>50</v>
      </c>
      <c r="H51" s="17" t="inlineStr">
        <is>
          <t>-</t>
        </is>
      </c>
      <c r="I51" s="19" t="inlineStr">
        <is>
          <t>C</t>
        </is>
      </c>
      <c r="J51" s="17" t="inlineStr"/>
      <c r="K51" s="17">
        <f>IFERROR(IF(I51=INDEX(전체_전일자!1:1048576,MATCH(C51,전체_전일자!B:B,0),MATCH("등급",전체_전일자!1:1,0)),"유지",INDEX(전체_전일자!1:1048576,MATCH(C51,전체_전일자!B:B,0),MATCH("등급",전체_전일자!1:1,0))&amp;" → "&amp;I51),"")</f>
        <v/>
      </c>
      <c r="L51" s="18">
        <f>IFERROR(D51-INDEX(전체_전일자!1:1048576,MATCH(C51,전체_전일자!B:B,0),MATCH("종합스코어",전체_전일자!1:1,0)),"")</f>
        <v/>
      </c>
      <c r="M51" s="18">
        <f>IFERROR(E51-INDEX(전체_전일자!1:1048576,MATCH(C51,전체_전일자!B:B,0),MATCH("모멘텀스코어",전체_전일자!1:1,0)),"")</f>
        <v/>
      </c>
      <c r="N51" s="18">
        <f>IFERROR(F51-INDEX(전체_전일자!1:1048576,MATCH(C51,전체_전일자!B:B,0),MATCH("수급스코어",전체_전일자!1:1,0)),"")</f>
        <v/>
      </c>
      <c r="O51" s="18">
        <f>IFERROR(G51-INDEX(전체_전일자!1:1048576,MATCH(C51,전체_전일자!B:B,0),MATCH("거래량스코어",전체_전일자!1:1,0)),"")</f>
        <v/>
      </c>
    </row>
    <row r="52" ht="17" customHeight="1">
      <c r="B52" s="13" t="n">
        <v>41</v>
      </c>
      <c r="C52" s="13" t="inlineStr">
        <is>
          <t>와이즈넛</t>
        </is>
      </c>
      <c r="D52" s="13" t="n">
        <v>52</v>
      </c>
      <c r="E52" s="13" t="n">
        <v>46.2</v>
      </c>
      <c r="F52" s="13" t="n">
        <v>42</v>
      </c>
      <c r="G52" s="13" t="n">
        <v>85.90000000000001</v>
      </c>
      <c r="H52" s="13" t="n">
        <v>29.41620506392772</v>
      </c>
      <c r="I52" s="19" t="inlineStr">
        <is>
          <t>C</t>
        </is>
      </c>
      <c r="J52" s="13" t="inlineStr"/>
      <c r="K52" s="13">
        <f>IFERROR(IF(I52=INDEX(전체_전일자!1:1048576,MATCH(C52,전체_전일자!B:B,0),MATCH("등급",전체_전일자!1:1,0)),"유지",INDEX(전체_전일자!1:1048576,MATCH(C52,전체_전일자!B:B,0),MATCH("등급",전체_전일자!1:1,0))&amp;" → "&amp;I52),"")</f>
        <v/>
      </c>
      <c r="L52" s="16">
        <f>IFERROR(D52-INDEX(전체_전일자!1:1048576,MATCH(C52,전체_전일자!B:B,0),MATCH("종합스코어",전체_전일자!1:1,0)),"")</f>
        <v/>
      </c>
      <c r="M52" s="16">
        <f>IFERROR(E52-INDEX(전체_전일자!1:1048576,MATCH(C52,전체_전일자!B:B,0),MATCH("모멘텀스코어",전체_전일자!1:1,0)),"")</f>
        <v/>
      </c>
      <c r="N52" s="16">
        <f>IFERROR(F52-INDEX(전체_전일자!1:1048576,MATCH(C52,전체_전일자!B:B,0),MATCH("수급스코어",전체_전일자!1:1,0)),"")</f>
        <v/>
      </c>
      <c r="O52" s="16">
        <f>IFERROR(G52-INDEX(전체_전일자!1:1048576,MATCH(C52,전체_전일자!B:B,0),MATCH("거래량스코어",전체_전일자!1:1,0)),"")</f>
        <v/>
      </c>
    </row>
    <row r="53" ht="17" customHeight="1">
      <c r="B53" s="17" t="n">
        <v>42</v>
      </c>
      <c r="C53" s="17" t="inlineStr">
        <is>
          <t>뉴엔AI</t>
        </is>
      </c>
      <c r="D53" s="17" t="n">
        <v>51.8</v>
      </c>
      <c r="E53" s="17" t="n">
        <v>25.3</v>
      </c>
      <c r="F53" s="17" t="n">
        <v>51.9</v>
      </c>
      <c r="G53" s="17" t="n">
        <v>91.09999999999999</v>
      </c>
      <c r="H53" s="17" t="n">
        <v>26.07442916739495</v>
      </c>
      <c r="I53" s="19" t="inlineStr">
        <is>
          <t>C</t>
        </is>
      </c>
      <c r="J53" s="17" t="inlineStr"/>
      <c r="K53" s="17">
        <f>IFERROR(IF(I53=INDEX(전체_전일자!1:1048576,MATCH(C53,전체_전일자!B:B,0),MATCH("등급",전체_전일자!1:1,0)),"유지",INDEX(전체_전일자!1:1048576,MATCH(C53,전체_전일자!B:B,0),MATCH("등급",전체_전일자!1:1,0))&amp;" → "&amp;I53),"")</f>
        <v/>
      </c>
      <c r="L53" s="18">
        <f>IFERROR(D53-INDEX(전체_전일자!1:1048576,MATCH(C53,전체_전일자!B:B,0),MATCH("종합스코어",전체_전일자!1:1,0)),"")</f>
        <v/>
      </c>
      <c r="M53" s="18">
        <f>IFERROR(E53-INDEX(전체_전일자!1:1048576,MATCH(C53,전체_전일자!B:B,0),MATCH("모멘텀스코어",전체_전일자!1:1,0)),"")</f>
        <v/>
      </c>
      <c r="N53" s="18">
        <f>IFERROR(F53-INDEX(전체_전일자!1:1048576,MATCH(C53,전체_전일자!B:B,0),MATCH("수급스코어",전체_전일자!1:1,0)),"")</f>
        <v/>
      </c>
      <c r="O53" s="18">
        <f>IFERROR(G53-INDEX(전체_전일자!1:1048576,MATCH(C53,전체_전일자!B:B,0),MATCH("거래량스코어",전체_전일자!1:1,0)),"")</f>
        <v/>
      </c>
    </row>
    <row r="54" ht="17" customHeight="1">
      <c r="B54" s="13" t="n">
        <v>43</v>
      </c>
      <c r="C54" s="13" t="inlineStr">
        <is>
          <t>엔젤로보틱스</t>
        </is>
      </c>
      <c r="D54" s="13" t="n">
        <v>51.4</v>
      </c>
      <c r="E54" s="13" t="n">
        <v>44.5</v>
      </c>
      <c r="F54" s="13" t="n">
        <v>50</v>
      </c>
      <c r="G54" s="13" t="n">
        <v>65.2</v>
      </c>
      <c r="H54" s="13" t="n">
        <v>46.45263630788812</v>
      </c>
      <c r="I54" s="19" t="inlineStr">
        <is>
          <t>C</t>
        </is>
      </c>
      <c r="J54" s="13" t="inlineStr"/>
      <c r="K54" s="13">
        <f>IFERROR(IF(I54=INDEX(전체_전일자!1:1048576,MATCH(C54,전체_전일자!B:B,0),MATCH("등급",전체_전일자!1:1,0)),"유지",INDEX(전체_전일자!1:1048576,MATCH(C54,전체_전일자!B:B,0),MATCH("등급",전체_전일자!1:1,0))&amp;" → "&amp;I54),"")</f>
        <v/>
      </c>
      <c r="L54" s="16">
        <f>IFERROR(D54-INDEX(전체_전일자!1:1048576,MATCH(C54,전체_전일자!B:B,0),MATCH("종합스코어",전체_전일자!1:1,0)),"")</f>
        <v/>
      </c>
      <c r="M54" s="16">
        <f>IFERROR(E54-INDEX(전체_전일자!1:1048576,MATCH(C54,전체_전일자!B:B,0),MATCH("모멘텀스코어",전체_전일자!1:1,0)),"")</f>
        <v/>
      </c>
      <c r="N54" s="16">
        <f>IFERROR(F54-INDEX(전체_전일자!1:1048576,MATCH(C54,전체_전일자!B:B,0),MATCH("수급스코어",전체_전일자!1:1,0)),"")</f>
        <v/>
      </c>
      <c r="O54" s="16">
        <f>IFERROR(G54-INDEX(전체_전일자!1:1048576,MATCH(C54,전체_전일자!B:B,0),MATCH("거래량스코어",전체_전일자!1:1,0)),"")</f>
        <v/>
      </c>
    </row>
    <row r="55" ht="17" customHeight="1">
      <c r="B55" s="17" t="n">
        <v>44</v>
      </c>
      <c r="C55" s="17" t="inlineStr">
        <is>
          <t>데이원컴퍼니</t>
        </is>
      </c>
      <c r="D55" s="17" t="n">
        <v>51.3</v>
      </c>
      <c r="E55" s="17" t="n">
        <v>38.8</v>
      </c>
      <c r="F55" s="17" t="n">
        <v>64.2</v>
      </c>
      <c r="G55" s="17" t="n">
        <v>37.8</v>
      </c>
      <c r="H55" s="17" t="n">
        <v>32.81447344873337</v>
      </c>
      <c r="I55" s="19" t="inlineStr">
        <is>
          <t>C</t>
        </is>
      </c>
      <c r="J55" s="17" t="inlineStr"/>
      <c r="K55" s="17">
        <f>IFERROR(IF(I55=INDEX(전체_전일자!1:1048576,MATCH(C55,전체_전일자!B:B,0),MATCH("등급",전체_전일자!1:1,0)),"유지",INDEX(전체_전일자!1:1048576,MATCH(C55,전체_전일자!B:B,0),MATCH("등급",전체_전일자!1:1,0))&amp;" → "&amp;I55),"")</f>
        <v/>
      </c>
      <c r="L55" s="18">
        <f>IFERROR(D55-INDEX(전체_전일자!1:1048576,MATCH(C55,전체_전일자!B:B,0),MATCH("종합스코어",전체_전일자!1:1,0)),"")</f>
        <v/>
      </c>
      <c r="M55" s="18">
        <f>IFERROR(E55-INDEX(전체_전일자!1:1048576,MATCH(C55,전체_전일자!B:B,0),MATCH("모멘텀스코어",전체_전일자!1:1,0)),"")</f>
        <v/>
      </c>
      <c r="N55" s="18">
        <f>IFERROR(F55-INDEX(전체_전일자!1:1048576,MATCH(C55,전체_전일자!B:B,0),MATCH("수급스코어",전체_전일자!1:1,0)),"")</f>
        <v/>
      </c>
      <c r="O55" s="18">
        <f>IFERROR(G55-INDEX(전체_전일자!1:1048576,MATCH(C55,전체_전일자!B:B,0),MATCH("거래량스코어",전체_전일자!1:1,0)),"")</f>
        <v/>
      </c>
    </row>
    <row r="56" ht="17" customHeight="1">
      <c r="B56" s="13" t="n">
        <v>45</v>
      </c>
      <c r="C56" s="13" t="inlineStr">
        <is>
          <t>이엔셀</t>
        </is>
      </c>
      <c r="D56" s="13" t="n">
        <v>51.2</v>
      </c>
      <c r="E56" s="13" t="n">
        <v>32.8</v>
      </c>
      <c r="F56" s="13" t="n">
        <v>63.4</v>
      </c>
      <c r="G56" s="13" t="n">
        <v>48.1</v>
      </c>
      <c r="H56" s="13" t="n">
        <v>25.87944164062723</v>
      </c>
      <c r="I56" s="19" t="inlineStr">
        <is>
          <t>C</t>
        </is>
      </c>
      <c r="J56" s="13" t="inlineStr"/>
      <c r="K56" s="13">
        <f>IFERROR(IF(I56=INDEX(전체_전일자!1:1048576,MATCH(C56,전체_전일자!B:B,0),MATCH("등급",전체_전일자!1:1,0)),"유지",INDEX(전체_전일자!1:1048576,MATCH(C56,전체_전일자!B:B,0),MATCH("등급",전체_전일자!1:1,0))&amp;" → "&amp;I56),"")</f>
        <v/>
      </c>
      <c r="L56" s="16">
        <f>IFERROR(D56-INDEX(전체_전일자!1:1048576,MATCH(C56,전체_전일자!B:B,0),MATCH("종합스코어",전체_전일자!1:1,0)),"")</f>
        <v/>
      </c>
      <c r="M56" s="16">
        <f>IFERROR(E56-INDEX(전체_전일자!1:1048576,MATCH(C56,전체_전일자!B:B,0),MATCH("모멘텀스코어",전체_전일자!1:1,0)),"")</f>
        <v/>
      </c>
      <c r="N56" s="16">
        <f>IFERROR(F56-INDEX(전체_전일자!1:1048576,MATCH(C56,전체_전일자!B:B,0),MATCH("수급스코어",전체_전일자!1:1,0)),"")</f>
        <v/>
      </c>
      <c r="O56" s="16">
        <f>IFERROR(G56-INDEX(전체_전일자!1:1048576,MATCH(C56,전체_전일자!B:B,0),MATCH("거래량스코어",전체_전일자!1:1,0)),"")</f>
        <v/>
      </c>
    </row>
    <row r="57" ht="17" customHeight="1">
      <c r="B57" s="17" t="n">
        <v>46</v>
      </c>
      <c r="C57" s="17" t="inlineStr">
        <is>
          <t>신한글로벌액티브리츠</t>
        </is>
      </c>
      <c r="D57" s="17" t="n">
        <v>51.1</v>
      </c>
      <c r="E57" s="17" t="n">
        <v>41.1</v>
      </c>
      <c r="F57" s="17" t="n">
        <v>49.3</v>
      </c>
      <c r="G57" s="17" t="n">
        <v>70.40000000000001</v>
      </c>
      <c r="H57" s="17" t="n">
        <v>25.03580032309623</v>
      </c>
      <c r="I57" s="19" t="inlineStr">
        <is>
          <t>C</t>
        </is>
      </c>
      <c r="J57" s="17" t="inlineStr"/>
      <c r="K57" s="17">
        <f>IFERROR(IF(I57=INDEX(전체_전일자!1:1048576,MATCH(C57,전체_전일자!B:B,0),MATCH("등급",전체_전일자!1:1,0)),"유지",INDEX(전체_전일자!1:1048576,MATCH(C57,전체_전일자!B:B,0),MATCH("등급",전체_전일자!1:1,0))&amp;" → "&amp;I57),"")</f>
        <v/>
      </c>
      <c r="L57" s="18">
        <f>IFERROR(D57-INDEX(전체_전일자!1:1048576,MATCH(C57,전체_전일자!B:B,0),MATCH("종합스코어",전체_전일자!1:1,0)),"")</f>
        <v/>
      </c>
      <c r="M57" s="18">
        <f>IFERROR(E57-INDEX(전체_전일자!1:1048576,MATCH(C57,전체_전일자!B:B,0),MATCH("모멘텀스코어",전체_전일자!1:1,0)),"")</f>
        <v/>
      </c>
      <c r="N57" s="18">
        <f>IFERROR(F57-INDEX(전체_전일자!1:1048576,MATCH(C57,전체_전일자!B:B,0),MATCH("수급스코어",전체_전일자!1:1,0)),"")</f>
        <v/>
      </c>
      <c r="O57" s="18">
        <f>IFERROR(G57-INDEX(전체_전일자!1:1048576,MATCH(C57,전체_전일자!B:B,0),MATCH("거래량스코어",전체_전일자!1:1,0)),"")</f>
        <v/>
      </c>
    </row>
    <row r="58" ht="17" customHeight="1">
      <c r="B58" s="13" t="n">
        <v>47</v>
      </c>
      <c r="C58" s="13" t="inlineStr">
        <is>
          <t>제일엠앤에스</t>
        </is>
      </c>
      <c r="D58" s="13" t="n">
        <v>50.8</v>
      </c>
      <c r="E58" s="13" t="n">
        <v>52.7</v>
      </c>
      <c r="F58" s="13" t="n">
        <v>50</v>
      </c>
      <c r="G58" s="13" t="n">
        <v>50</v>
      </c>
      <c r="H58" s="13" t="inlineStr">
        <is>
          <t>-</t>
        </is>
      </c>
      <c r="I58" s="19" t="inlineStr">
        <is>
          <t>C</t>
        </is>
      </c>
      <c r="J58" s="13" t="inlineStr"/>
      <c r="K58" s="13">
        <f>IFERROR(IF(I58=INDEX(전체_전일자!1:1048576,MATCH(C58,전체_전일자!B:B,0),MATCH("등급",전체_전일자!1:1,0)),"유지",INDEX(전체_전일자!1:1048576,MATCH(C58,전체_전일자!B:B,0),MATCH("등급",전체_전일자!1:1,0))&amp;" → "&amp;I58),"")</f>
        <v/>
      </c>
      <c r="L58" s="16">
        <f>IFERROR(D58-INDEX(전체_전일자!1:1048576,MATCH(C58,전체_전일자!B:B,0),MATCH("종합스코어",전체_전일자!1:1,0)),"")</f>
        <v/>
      </c>
      <c r="M58" s="16">
        <f>IFERROR(E58-INDEX(전체_전일자!1:1048576,MATCH(C58,전체_전일자!B:B,0),MATCH("모멘텀스코어",전체_전일자!1:1,0)),"")</f>
        <v/>
      </c>
      <c r="N58" s="16">
        <f>IFERROR(F58-INDEX(전체_전일자!1:1048576,MATCH(C58,전체_전일자!B:B,0),MATCH("수급스코어",전체_전일자!1:1,0)),"")</f>
        <v/>
      </c>
      <c r="O58" s="16">
        <f>IFERROR(G58-INDEX(전체_전일자!1:1048576,MATCH(C58,전체_전일자!B:B,0),MATCH("거래량스코어",전체_전일자!1:1,0)),"")</f>
        <v/>
      </c>
    </row>
    <row r="59" ht="17" customHeight="1">
      <c r="B59" s="17" t="n">
        <v>48</v>
      </c>
      <c r="C59" s="17" t="inlineStr">
        <is>
          <t>쓰리에이로직스</t>
        </is>
      </c>
      <c r="D59" s="17" t="n">
        <v>50.3</v>
      </c>
      <c r="E59" s="17" t="n">
        <v>47.3</v>
      </c>
      <c r="F59" s="17" t="n">
        <v>39.6</v>
      </c>
      <c r="G59" s="17" t="n">
        <v>81.5</v>
      </c>
      <c r="H59" s="17" t="n">
        <v>35.48276619410613</v>
      </c>
      <c r="I59" s="19" t="inlineStr">
        <is>
          <t>C</t>
        </is>
      </c>
      <c r="J59" s="17" t="inlineStr"/>
      <c r="K59" s="17">
        <f>IFERROR(IF(I59=INDEX(전체_전일자!1:1048576,MATCH(C59,전체_전일자!B:B,0),MATCH("등급",전체_전일자!1:1,0)),"유지",INDEX(전체_전일자!1:1048576,MATCH(C59,전체_전일자!B:B,0),MATCH("등급",전체_전일자!1:1,0))&amp;" → "&amp;I59),"")</f>
        <v/>
      </c>
      <c r="L59" s="18">
        <f>IFERROR(D59-INDEX(전체_전일자!1:1048576,MATCH(C59,전체_전일자!B:B,0),MATCH("종합스코어",전체_전일자!1:1,0)),"")</f>
        <v/>
      </c>
      <c r="M59" s="18">
        <f>IFERROR(E59-INDEX(전체_전일자!1:1048576,MATCH(C59,전체_전일자!B:B,0),MATCH("모멘텀스코어",전체_전일자!1:1,0)),"")</f>
        <v/>
      </c>
      <c r="N59" s="18">
        <f>IFERROR(F59-INDEX(전체_전일자!1:1048576,MATCH(C59,전체_전일자!B:B,0),MATCH("수급스코어",전체_전일자!1:1,0)),"")</f>
        <v/>
      </c>
      <c r="O59" s="18">
        <f>IFERROR(G59-INDEX(전체_전일자!1:1048576,MATCH(C59,전체_전일자!B:B,0),MATCH("거래량스코어",전체_전일자!1:1,0)),"")</f>
        <v/>
      </c>
    </row>
    <row r="60" ht="17" customHeight="1">
      <c r="B60" s="13" t="n">
        <v>49</v>
      </c>
      <c r="C60" s="13" t="inlineStr">
        <is>
          <t>삼현</t>
        </is>
      </c>
      <c r="D60" s="13" t="n">
        <v>50.2</v>
      </c>
      <c r="E60" s="13" t="n">
        <v>48.6</v>
      </c>
      <c r="F60" s="13" t="n">
        <v>50</v>
      </c>
      <c r="G60" s="13" t="n">
        <v>53.3</v>
      </c>
      <c r="H60" s="13" t="n">
        <v>40.55901248535718</v>
      </c>
      <c r="I60" s="19" t="inlineStr">
        <is>
          <t>C</t>
        </is>
      </c>
      <c r="J60" s="13" t="inlineStr"/>
      <c r="K60" s="13">
        <f>IFERROR(IF(I60=INDEX(전체_전일자!1:1048576,MATCH(C60,전체_전일자!B:B,0),MATCH("등급",전체_전일자!1:1,0)),"유지",INDEX(전체_전일자!1:1048576,MATCH(C60,전체_전일자!B:B,0),MATCH("등급",전체_전일자!1:1,0))&amp;" → "&amp;I60),"")</f>
        <v/>
      </c>
      <c r="L60" s="16">
        <f>IFERROR(D60-INDEX(전체_전일자!1:1048576,MATCH(C60,전체_전일자!B:B,0),MATCH("종합스코어",전체_전일자!1:1,0)),"")</f>
        <v/>
      </c>
      <c r="M60" s="16">
        <f>IFERROR(E60-INDEX(전체_전일자!1:1048576,MATCH(C60,전체_전일자!B:B,0),MATCH("모멘텀스코어",전체_전일자!1:1,0)),"")</f>
        <v/>
      </c>
      <c r="N60" s="16">
        <f>IFERROR(F60-INDEX(전체_전일자!1:1048576,MATCH(C60,전체_전일자!B:B,0),MATCH("수급스코어",전체_전일자!1:1,0)),"")</f>
        <v/>
      </c>
      <c r="O60" s="16">
        <f>IFERROR(G60-INDEX(전체_전일자!1:1048576,MATCH(C60,전체_전일자!B:B,0),MATCH("거래량스코어",전체_전일자!1:1,0)),"")</f>
        <v/>
      </c>
    </row>
  </sheetData>
  <mergeCells count="12">
    <mergeCell ref="D6:E6"/>
    <mergeCell ref="B6:C6"/>
    <mergeCell ref="D7:E7"/>
    <mergeCell ref="B7:C7"/>
    <mergeCell ref="H6:I6"/>
    <mergeCell ref="H7:I7"/>
    <mergeCell ref="B2:I2"/>
    <mergeCell ref="B10:O10"/>
    <mergeCell ref="J6"/>
    <mergeCell ref="B3:I3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</cols>
  <sheetData>
    <row r="1">
      <c r="A1" s="20" t="inlineStr">
        <is>
          <t>코드</t>
        </is>
      </c>
      <c r="B1" s="20" t="inlineStr">
        <is>
          <t>코드명</t>
        </is>
      </c>
      <c r="C1" s="20" t="inlineStr">
        <is>
          <t>상장일</t>
        </is>
      </c>
      <c r="D1" s="20" t="inlineStr">
        <is>
          <t>현재가</t>
        </is>
      </c>
      <c r="E1" s="20" t="inlineStr">
        <is>
          <t>거래대금(억)</t>
        </is>
      </c>
      <c r="F1" s="20" t="inlineStr">
        <is>
          <t>종합스코어</t>
        </is>
      </c>
      <c r="G1" s="20" t="inlineStr">
        <is>
          <t>모멘텀스코어</t>
        </is>
      </c>
      <c r="H1" s="20" t="inlineStr">
        <is>
          <t>수급스코어</t>
        </is>
      </c>
      <c r="I1" s="20" t="inlineStr">
        <is>
          <t>거래량스코어</t>
        </is>
      </c>
      <c r="J1" s="20" t="inlineStr">
        <is>
          <t>RSI변화량</t>
        </is>
      </c>
      <c r="K1" s="20" t="inlineStr">
        <is>
          <t>RSI(14)</t>
        </is>
      </c>
      <c r="L1" s="20" t="inlineStr">
        <is>
          <t>전일RSI(14)</t>
        </is>
      </c>
      <c r="M1" s="20" t="inlineStr">
        <is>
          <t>RVOL(20)</t>
        </is>
      </c>
      <c r="N1" s="20" t="inlineStr">
        <is>
          <t>기관_일간</t>
        </is>
      </c>
      <c r="O1" s="20" t="inlineStr">
        <is>
          <t>외국인_일간</t>
        </is>
      </c>
      <c r="P1" s="20" t="inlineStr">
        <is>
          <t>10일선돌파</t>
        </is>
      </c>
      <c r="Q1" s="20" t="inlineStr">
        <is>
          <t>20일선돌파</t>
        </is>
      </c>
      <c r="R1" s="20" t="inlineStr">
        <is>
          <t>60일선돌파</t>
        </is>
      </c>
      <c r="S1" s="20" t="inlineStr">
        <is>
          <t>변동성(30D)</t>
        </is>
      </c>
      <c r="T1" s="20" t="inlineStr">
        <is>
          <t>BB폭</t>
        </is>
      </c>
    </row>
    <row r="2">
      <c r="A2" t="inlineStr">
        <is>
          <t>A476080</t>
        </is>
      </c>
      <c r="B2" t="inlineStr">
        <is>
          <t>M83</t>
        </is>
      </c>
      <c r="C2" t="inlineStr"/>
      <c r="D2" t="n">
        <v>7760</v>
      </c>
      <c r="E2" t="n">
        <v>19.8540376</v>
      </c>
      <c r="F2" t="n">
        <v>74.3</v>
      </c>
      <c r="G2" t="n">
        <v>98.09999999999999</v>
      </c>
      <c r="H2" t="n">
        <v>49.8</v>
      </c>
      <c r="I2" t="n">
        <v>100</v>
      </c>
      <c r="J2" t="n">
        <v>25</v>
      </c>
      <c r="K2" t="n">
        <v>65.95034493601457</v>
      </c>
      <c r="L2" t="n">
        <v>40.92280314926256</v>
      </c>
      <c r="M2" t="n">
        <v>3.940388477508224</v>
      </c>
      <c r="N2" t="n">
        <v>-0</v>
      </c>
      <c r="O2" t="n">
        <v>1.9</v>
      </c>
      <c r="P2" t="n">
        <v>1</v>
      </c>
      <c r="Q2" t="n">
        <v>1</v>
      </c>
      <c r="R2" t="n">
        <v>1</v>
      </c>
      <c r="S2" t="n">
        <v>8.5578053251462</v>
      </c>
      <c r="T2" t="n">
        <v>2914.967545183601</v>
      </c>
    </row>
    <row r="3">
      <c r="A3" t="inlineStr">
        <is>
          <t>A347850</t>
        </is>
      </c>
      <c r="B3" t="inlineStr">
        <is>
          <t>디앤디파마텍</t>
        </is>
      </c>
      <c r="C3" t="inlineStr"/>
      <c r="D3" t="n">
        <v>94000</v>
      </c>
      <c r="E3" t="n">
        <v>1810.2473</v>
      </c>
      <c r="F3" t="n">
        <v>73.59999999999999</v>
      </c>
      <c r="G3" t="n">
        <v>98.8</v>
      </c>
      <c r="H3" t="n">
        <v>50</v>
      </c>
      <c r="I3" t="n">
        <v>94.8</v>
      </c>
      <c r="J3" t="n">
        <v>11.5</v>
      </c>
      <c r="K3" t="n">
        <v>59.71953800661702</v>
      </c>
      <c r="L3" t="n">
        <v>48.21238098345931</v>
      </c>
      <c r="M3" t="n">
        <v>1.411869699586881</v>
      </c>
      <c r="N3" t="inlineStr"/>
      <c r="O3" t="inlineStr"/>
      <c r="P3" t="n">
        <v>1</v>
      </c>
      <c r="Q3" t="n">
        <v>1</v>
      </c>
      <c r="R3" t="n">
        <v>1</v>
      </c>
      <c r="S3" t="n">
        <v>8.14321370849664</v>
      </c>
      <c r="T3" t="n">
        <v>54794.58674761682</v>
      </c>
    </row>
    <row r="4">
      <c r="A4" t="inlineStr">
        <is>
          <t>A475660</t>
        </is>
      </c>
      <c r="B4" t="inlineStr">
        <is>
          <t>에스켐</t>
        </is>
      </c>
      <c r="C4" t="inlineStr"/>
      <c r="D4" t="n">
        <v>4540</v>
      </c>
      <c r="E4" t="n">
        <v>1.3223658</v>
      </c>
      <c r="F4" t="n">
        <v>72</v>
      </c>
      <c r="G4" t="n">
        <v>90.3</v>
      </c>
      <c r="H4" t="n">
        <v>54.2</v>
      </c>
      <c r="I4" t="n">
        <v>88.90000000000001</v>
      </c>
      <c r="J4" t="n">
        <v>14</v>
      </c>
      <c r="K4" t="n">
        <v>44.20643104899056</v>
      </c>
      <c r="L4" t="n">
        <v>30.23779843325489</v>
      </c>
      <c r="M4" t="n">
        <v>1.011531535911679</v>
      </c>
      <c r="N4" t="n">
        <v>0</v>
      </c>
      <c r="O4" t="n">
        <v>4.7</v>
      </c>
      <c r="P4" t="n">
        <v>1</v>
      </c>
      <c r="Q4" t="n">
        <v>0</v>
      </c>
      <c r="R4" t="n">
        <v>0</v>
      </c>
      <c r="S4" t="n">
        <v>4.761231005265615</v>
      </c>
      <c r="T4" t="n">
        <v>1193.531248901872</v>
      </c>
    </row>
    <row r="5">
      <c r="A5" t="inlineStr">
        <is>
          <t>A473980</t>
        </is>
      </c>
      <c r="B5" t="inlineStr">
        <is>
          <t>노머스</t>
        </is>
      </c>
      <c r="C5" t="inlineStr"/>
      <c r="D5" t="n">
        <v>14000</v>
      </c>
      <c r="E5" t="n">
        <v>6.33892</v>
      </c>
      <c r="F5" t="n">
        <v>68.3</v>
      </c>
      <c r="G5" t="n">
        <v>46.6</v>
      </c>
      <c r="H5" t="n">
        <v>79.90000000000001</v>
      </c>
      <c r="I5" t="n">
        <v>71.90000000000001</v>
      </c>
      <c r="J5" t="n">
        <v>5.8</v>
      </c>
      <c r="K5" t="n">
        <v>35.38595035001909</v>
      </c>
      <c r="L5" t="n">
        <v>29.59491880423996</v>
      </c>
      <c r="M5" t="n">
        <v>0.6770855920050126</v>
      </c>
      <c r="N5" t="n">
        <v>34.8</v>
      </c>
      <c r="O5" t="n">
        <v>23.2</v>
      </c>
      <c r="P5" t="n">
        <v>0</v>
      </c>
      <c r="Q5" t="n">
        <v>0</v>
      </c>
      <c r="R5" t="n">
        <v>0</v>
      </c>
      <c r="S5" t="n">
        <v>3.456897901148991</v>
      </c>
      <c r="T5" t="n">
        <v>5398.524164796778</v>
      </c>
    </row>
    <row r="6">
      <c r="A6" t="inlineStr">
        <is>
          <t>A295310</t>
        </is>
      </c>
      <c r="B6" t="inlineStr">
        <is>
          <t>에이치브이엠</t>
        </is>
      </c>
      <c r="C6" t="inlineStr"/>
      <c r="D6" t="n">
        <v>102600</v>
      </c>
      <c r="E6" t="n">
        <v>274.813074</v>
      </c>
      <c r="F6" t="n">
        <v>68.3</v>
      </c>
      <c r="G6" t="n">
        <v>70.5</v>
      </c>
      <c r="H6" t="n">
        <v>67</v>
      </c>
      <c r="I6" t="n">
        <v>68.09999999999999</v>
      </c>
      <c r="J6" t="n">
        <v>5.1</v>
      </c>
      <c r="K6" t="n">
        <v>50.0324723091279</v>
      </c>
      <c r="L6" t="n">
        <v>44.9148186780135</v>
      </c>
      <c r="M6" t="n">
        <v>0.6245154653549422</v>
      </c>
      <c r="N6" t="n">
        <v>64.3</v>
      </c>
      <c r="O6" t="n">
        <v>71.5</v>
      </c>
      <c r="P6" t="n">
        <v>0</v>
      </c>
      <c r="Q6" t="n">
        <v>0</v>
      </c>
      <c r="R6" t="n">
        <v>1</v>
      </c>
      <c r="S6" t="n">
        <v>9.506870280302643</v>
      </c>
      <c r="T6" t="n">
        <v>51960.48701202014</v>
      </c>
    </row>
    <row r="7">
      <c r="A7" t="inlineStr">
        <is>
          <t>A279570</t>
        </is>
      </c>
      <c r="B7" t="inlineStr">
        <is>
          <t>케이뱅크</t>
        </is>
      </c>
      <c r="C7" t="inlineStr"/>
      <c r="D7" t="n">
        <v>5590</v>
      </c>
      <c r="E7" t="n">
        <v>64.3139003</v>
      </c>
      <c r="F7" t="n">
        <v>67.59999999999999</v>
      </c>
      <c r="G7" t="n">
        <v>75.59999999999999</v>
      </c>
      <c r="H7" t="n">
        <v>67.90000000000001</v>
      </c>
      <c r="I7" t="n">
        <v>54.8</v>
      </c>
      <c r="J7" t="n">
        <v>12.7</v>
      </c>
      <c r="K7" t="n">
        <v>39.37922669772343</v>
      </c>
      <c r="L7" t="n">
        <v>26.72232781634349</v>
      </c>
      <c r="M7" t="n">
        <v>0.5182964035896664</v>
      </c>
      <c r="N7" t="n">
        <v>188.6</v>
      </c>
      <c r="O7" t="n">
        <v>56.5</v>
      </c>
      <c r="P7" t="n">
        <v>1</v>
      </c>
      <c r="Q7" t="n">
        <v>0</v>
      </c>
      <c r="R7" t="n">
        <v>0</v>
      </c>
      <c r="S7" t="n">
        <v>2.2128590930212</v>
      </c>
      <c r="T7" t="n">
        <v>853.7003048648367</v>
      </c>
    </row>
    <row r="8">
      <c r="A8" t="inlineStr">
        <is>
          <t>A457600</t>
        </is>
      </c>
      <c r="B8" t="inlineStr">
        <is>
          <t>벡트</t>
        </is>
      </c>
      <c r="C8" t="inlineStr"/>
      <c r="D8" t="n">
        <v>1611</v>
      </c>
      <c r="E8" t="n">
        <v>1.60175286</v>
      </c>
      <c r="F8" t="n">
        <v>65.2</v>
      </c>
      <c r="G8" t="n">
        <v>52.4</v>
      </c>
      <c r="H8" t="n">
        <v>60.2</v>
      </c>
      <c r="I8" t="n">
        <v>97</v>
      </c>
      <c r="J8" t="n">
        <v>-15.7</v>
      </c>
      <c r="K8" t="n">
        <v>34.92875819184506</v>
      </c>
      <c r="L8" t="n">
        <v>50.66168845034715</v>
      </c>
      <c r="M8" t="n">
        <v>2.129918927864115</v>
      </c>
      <c r="N8" t="n">
        <v>0.2</v>
      </c>
      <c r="O8" t="n">
        <v>0.7</v>
      </c>
      <c r="P8" t="n">
        <v>0</v>
      </c>
      <c r="Q8" t="n">
        <v>0</v>
      </c>
      <c r="R8" t="n">
        <v>0</v>
      </c>
      <c r="S8" t="n">
        <v>3.473075250778018</v>
      </c>
      <c r="T8" t="n">
        <v>895.6438201827641</v>
      </c>
    </row>
    <row r="9">
      <c r="A9" t="inlineStr">
        <is>
          <t>A098070</t>
        </is>
      </c>
      <c r="B9" t="inlineStr">
        <is>
          <t>한텍</t>
        </is>
      </c>
      <c r="C9" t="inlineStr"/>
      <c r="D9" t="n">
        <v>36800</v>
      </c>
      <c r="E9" t="n">
        <v>41.505984</v>
      </c>
      <c r="F9" t="n">
        <v>64.5</v>
      </c>
      <c r="G9" t="n">
        <v>87.59999999999999</v>
      </c>
      <c r="H9" t="n">
        <v>39.7</v>
      </c>
      <c r="I9" t="n">
        <v>91.90000000000001</v>
      </c>
      <c r="J9" t="n">
        <v>10.6</v>
      </c>
      <c r="K9" t="n">
        <v>45.70089627437983</v>
      </c>
      <c r="L9" t="n">
        <v>35.07572127494295</v>
      </c>
      <c r="M9" t="n">
        <v>1.071069407553932</v>
      </c>
      <c r="N9" t="n">
        <v>-21.9</v>
      </c>
      <c r="O9" t="n">
        <v>7.3</v>
      </c>
      <c r="P9" t="n">
        <v>1</v>
      </c>
      <c r="Q9" t="n">
        <v>0</v>
      </c>
      <c r="R9" t="n">
        <v>0</v>
      </c>
      <c r="S9" t="n">
        <v>3.920548586204552</v>
      </c>
      <c r="T9" t="n">
        <v>14878.805130294</v>
      </c>
    </row>
    <row r="10">
      <c r="A10" t="inlineStr">
        <is>
          <t>A457370</t>
        </is>
      </c>
      <c r="B10" t="inlineStr">
        <is>
          <t>한켐</t>
        </is>
      </c>
      <c r="C10" t="inlineStr"/>
      <c r="D10" t="n">
        <v>11290</v>
      </c>
      <c r="E10" t="n">
        <v>68.1725199</v>
      </c>
      <c r="F10" t="n">
        <v>64.3</v>
      </c>
      <c r="G10" t="n">
        <v>71.5</v>
      </c>
      <c r="H10" t="n">
        <v>67</v>
      </c>
      <c r="I10" t="n">
        <v>46.7</v>
      </c>
      <c r="J10" t="n">
        <v>-4.5</v>
      </c>
      <c r="K10" t="n">
        <v>60.1125847289442</v>
      </c>
      <c r="L10" t="n">
        <v>64.61265157161277</v>
      </c>
      <c r="M10" t="n">
        <v>0.4302279235935055</v>
      </c>
      <c r="N10" t="n">
        <v>9.9</v>
      </c>
      <c r="O10" t="n">
        <v>145.3</v>
      </c>
      <c r="P10" t="n">
        <v>1</v>
      </c>
      <c r="Q10" t="n">
        <v>1</v>
      </c>
      <c r="R10" t="n">
        <v>1</v>
      </c>
      <c r="S10" t="n">
        <v>7.574256574882651</v>
      </c>
      <c r="T10" t="n">
        <v>6385.120861898598</v>
      </c>
    </row>
    <row r="11">
      <c r="A11" t="inlineStr">
        <is>
          <t>A466100</t>
        </is>
      </c>
      <c r="B11" t="inlineStr">
        <is>
          <t>클로봇</t>
        </is>
      </c>
      <c r="C11" t="inlineStr"/>
      <c r="D11" t="n">
        <v>46450</v>
      </c>
      <c r="E11" t="n">
        <v>221.0411505</v>
      </c>
      <c r="F11" t="n">
        <v>64.2</v>
      </c>
      <c r="G11" t="n">
        <v>71.5</v>
      </c>
      <c r="H11" t="n">
        <v>50.2</v>
      </c>
      <c r="I11" t="n">
        <v>88.09999999999999</v>
      </c>
      <c r="J11" t="n">
        <v>4.9</v>
      </c>
      <c r="K11" t="n">
        <v>50.16541349195553</v>
      </c>
      <c r="L11" t="n">
        <v>45.30274128674548</v>
      </c>
      <c r="M11" t="n">
        <v>1.011430504363473</v>
      </c>
      <c r="N11" t="n">
        <v>281.5</v>
      </c>
      <c r="O11" t="n">
        <v>-241.8</v>
      </c>
      <c r="P11" t="n">
        <v>1</v>
      </c>
      <c r="Q11" t="n">
        <v>1</v>
      </c>
      <c r="R11" t="n">
        <v>0</v>
      </c>
      <c r="S11" t="n">
        <v>4.263025442345443</v>
      </c>
      <c r="T11" t="n">
        <v>13252.44366741063</v>
      </c>
    </row>
    <row r="12">
      <c r="A12" t="inlineStr">
        <is>
          <t>A483650</t>
        </is>
      </c>
      <c r="B12" t="inlineStr">
        <is>
          <t>달바글로벌</t>
        </is>
      </c>
      <c r="C12" t="inlineStr"/>
      <c r="D12" t="n">
        <v>198100</v>
      </c>
      <c r="E12" t="n">
        <v>517.268815</v>
      </c>
      <c r="F12" t="n">
        <v>64.09999999999999</v>
      </c>
      <c r="G12" t="n">
        <v>69.5</v>
      </c>
      <c r="H12" t="n">
        <v>50.7</v>
      </c>
      <c r="I12" t="n">
        <v>89.59999999999999</v>
      </c>
      <c r="J12" t="n">
        <v>18.5</v>
      </c>
      <c r="K12" t="n">
        <v>43.86710140349594</v>
      </c>
      <c r="L12" t="n">
        <v>25.40613978679156</v>
      </c>
      <c r="M12" t="n">
        <v>1.026948272664864</v>
      </c>
      <c r="N12" t="n">
        <v>-1546</v>
      </c>
      <c r="O12" t="n">
        <v>1589.7</v>
      </c>
      <c r="P12" t="n">
        <v>0</v>
      </c>
      <c r="Q12" t="n">
        <v>0</v>
      </c>
      <c r="R12" t="n">
        <v>1</v>
      </c>
      <c r="S12" t="n">
        <v>4.674422902671763</v>
      </c>
      <c r="T12" t="n">
        <v>74619.35687911441</v>
      </c>
    </row>
    <row r="13">
      <c r="A13" t="inlineStr">
        <is>
          <t>A212710</t>
        </is>
      </c>
      <c r="B13" t="inlineStr">
        <is>
          <t>아이에스티이</t>
        </is>
      </c>
      <c r="C13" t="inlineStr"/>
      <c r="D13" t="n">
        <v>11510</v>
      </c>
      <c r="E13" t="n">
        <v>20.8477177</v>
      </c>
      <c r="F13" t="n">
        <v>63.6</v>
      </c>
      <c r="G13" t="n">
        <v>76.8</v>
      </c>
      <c r="H13" t="n">
        <v>64.3</v>
      </c>
      <c r="I13" t="n">
        <v>42.2</v>
      </c>
      <c r="J13" t="n">
        <v>-14</v>
      </c>
      <c r="K13" t="n">
        <v>54.35842724138814</v>
      </c>
      <c r="L13" t="n">
        <v>68.36338501978705</v>
      </c>
      <c r="M13" t="n">
        <v>0.4060649118279994</v>
      </c>
      <c r="N13" t="n">
        <v>2.4</v>
      </c>
      <c r="O13" t="n">
        <v>30.1</v>
      </c>
      <c r="P13" t="n">
        <v>0</v>
      </c>
      <c r="Q13" t="n">
        <v>1</v>
      </c>
      <c r="R13" t="n">
        <v>1</v>
      </c>
      <c r="S13" t="n">
        <v>6.305854089224749</v>
      </c>
      <c r="T13" t="n">
        <v>4249.068752463048</v>
      </c>
    </row>
    <row r="14">
      <c r="A14" t="inlineStr">
        <is>
          <t>A462870</t>
        </is>
      </c>
      <c r="B14" t="inlineStr">
        <is>
          <t>시프트업</t>
        </is>
      </c>
      <c r="C14" t="inlineStr"/>
      <c r="D14" t="n">
        <v>30450</v>
      </c>
      <c r="E14" t="n">
        <v>23.668176</v>
      </c>
      <c r="F14" t="n">
        <v>63.6</v>
      </c>
      <c r="G14" t="n">
        <v>79.40000000000001</v>
      </c>
      <c r="H14" t="n">
        <v>45.8</v>
      </c>
      <c r="I14" t="n">
        <v>84.40000000000001</v>
      </c>
      <c r="J14" t="n">
        <v>8.300000000000001</v>
      </c>
      <c r="K14" t="n">
        <v>48.93134003062531</v>
      </c>
      <c r="L14" t="n">
        <v>40.61254479566261</v>
      </c>
      <c r="M14" t="n">
        <v>0.9014638581743872</v>
      </c>
      <c r="N14" t="n">
        <v>80.7</v>
      </c>
      <c r="O14" t="n">
        <v>-26.3</v>
      </c>
      <c r="P14" t="n">
        <v>1</v>
      </c>
      <c r="Q14" t="n">
        <v>1</v>
      </c>
      <c r="R14" t="n">
        <v>0</v>
      </c>
      <c r="S14" t="n">
        <v>2.315037749266466</v>
      </c>
      <c r="T14" t="n">
        <v>5017.558643089498</v>
      </c>
    </row>
    <row r="15">
      <c r="A15" t="inlineStr">
        <is>
          <t>A456010</t>
        </is>
      </c>
      <c r="B15" t="inlineStr">
        <is>
          <t>아이씨티케이</t>
        </is>
      </c>
      <c r="C15" t="inlineStr"/>
      <c r="D15" t="n">
        <v>28150</v>
      </c>
      <c r="E15" t="n">
        <v>173.568396</v>
      </c>
      <c r="F15" t="n">
        <v>62</v>
      </c>
      <c r="G15" t="n">
        <v>53.9</v>
      </c>
      <c r="H15" t="n">
        <v>84.3</v>
      </c>
      <c r="I15" t="n">
        <v>18.5</v>
      </c>
      <c r="J15" t="n">
        <v>-1.4</v>
      </c>
      <c r="K15" t="n">
        <v>54.39310551756087</v>
      </c>
      <c r="L15" t="n">
        <v>55.76564009536217</v>
      </c>
      <c r="M15" t="n">
        <v>0.284458626838842</v>
      </c>
      <c r="N15" t="n">
        <v>12.1</v>
      </c>
      <c r="O15" t="n">
        <v>319.6</v>
      </c>
      <c r="P15" t="n">
        <v>0</v>
      </c>
      <c r="Q15" t="n">
        <v>1</v>
      </c>
      <c r="R15" t="n">
        <v>1</v>
      </c>
      <c r="S15" t="n">
        <v>9.163145241409346</v>
      </c>
      <c r="T15" t="n">
        <v>19888.89761703886</v>
      </c>
    </row>
    <row r="16">
      <c r="A16" t="inlineStr">
        <is>
          <t>A450950</t>
        </is>
      </c>
      <c r="B16" t="inlineStr">
        <is>
          <t>아스테라시스</t>
        </is>
      </c>
      <c r="C16" t="inlineStr"/>
      <c r="D16" t="n">
        <v>8090</v>
      </c>
      <c r="E16" t="n">
        <v>4.1047042</v>
      </c>
      <c r="F16" t="n">
        <v>61.9</v>
      </c>
      <c r="G16" t="n">
        <v>28.8</v>
      </c>
      <c r="H16" t="n">
        <v>74.59999999999999</v>
      </c>
      <c r="I16" t="n">
        <v>80</v>
      </c>
      <c r="J16" t="n">
        <v>10.4</v>
      </c>
      <c r="K16" t="n">
        <v>23.74134848716414</v>
      </c>
      <c r="L16" t="n">
        <v>13.38116958472538</v>
      </c>
      <c r="M16" t="n">
        <v>0.8137871303008918</v>
      </c>
      <c r="N16" t="n">
        <v>0.8</v>
      </c>
      <c r="O16" t="n">
        <v>18.8</v>
      </c>
      <c r="P16" t="n">
        <v>0</v>
      </c>
      <c r="Q16" t="n">
        <v>0</v>
      </c>
      <c r="R16" t="n">
        <v>0</v>
      </c>
      <c r="S16" t="n">
        <v>2.59155393362178</v>
      </c>
      <c r="T16" t="n">
        <v>3820.725199832024</v>
      </c>
    </row>
    <row r="17">
      <c r="A17" t="inlineStr">
        <is>
          <t>A415640</t>
        </is>
      </c>
      <c r="B17" t="inlineStr">
        <is>
          <t>KB발해인프라</t>
        </is>
      </c>
      <c r="C17" t="inlineStr"/>
      <c r="D17" t="n">
        <v>9620</v>
      </c>
      <c r="E17" t="n">
        <v>12.1355338</v>
      </c>
      <c r="F17" t="n">
        <v>60.2</v>
      </c>
      <c r="G17" t="n">
        <v>49.5</v>
      </c>
      <c r="H17" t="n">
        <v>53.6</v>
      </c>
      <c r="I17" t="n">
        <v>92.59999999999999</v>
      </c>
      <c r="J17" t="n">
        <v>6.3</v>
      </c>
      <c r="K17" t="n">
        <v>37.79579579206913</v>
      </c>
      <c r="L17" t="n">
        <v>31.48088343888248</v>
      </c>
      <c r="M17" t="n">
        <v>1.112852913465848</v>
      </c>
      <c r="N17" t="n">
        <v>14.1</v>
      </c>
      <c r="O17" t="n">
        <v>6.5</v>
      </c>
      <c r="P17" t="n">
        <v>0</v>
      </c>
      <c r="Q17" t="n">
        <v>0</v>
      </c>
      <c r="R17" t="n">
        <v>0</v>
      </c>
      <c r="S17" t="n">
        <v>1.124176066124202</v>
      </c>
      <c r="T17" t="n">
        <v>519.3356079494406</v>
      </c>
    </row>
    <row r="18">
      <c r="A18" t="inlineStr">
        <is>
          <t>A489460</t>
        </is>
      </c>
      <c r="B18" t="inlineStr">
        <is>
          <t>바이오비쥬</t>
        </is>
      </c>
      <c r="C18" t="inlineStr"/>
      <c r="D18" t="n">
        <v>6720</v>
      </c>
      <c r="E18" t="n">
        <v>4.4532096</v>
      </c>
      <c r="F18" t="n">
        <v>60.1</v>
      </c>
      <c r="G18" t="n">
        <v>72.3</v>
      </c>
      <c r="H18" t="n">
        <v>45.5</v>
      </c>
      <c r="I18" t="n">
        <v>78.5</v>
      </c>
      <c r="J18" t="n">
        <v>11.8</v>
      </c>
      <c r="K18" t="n">
        <v>40.88968756019091</v>
      </c>
      <c r="L18" t="n">
        <v>29.06489904885363</v>
      </c>
      <c r="M18" t="n">
        <v>0.7802895294748635</v>
      </c>
      <c r="N18" t="n">
        <v>-3.5</v>
      </c>
      <c r="O18" t="n">
        <v>-3.9</v>
      </c>
      <c r="P18" t="n">
        <v>1</v>
      </c>
      <c r="Q18" t="n">
        <v>0</v>
      </c>
      <c r="R18" t="n">
        <v>0</v>
      </c>
      <c r="S18" t="n">
        <v>3.474658198791686</v>
      </c>
      <c r="T18" t="n">
        <v>1868.682620682866</v>
      </c>
    </row>
    <row r="19">
      <c r="A19" t="inlineStr">
        <is>
          <t>A475830</t>
        </is>
      </c>
      <c r="B19" t="inlineStr">
        <is>
          <t>오름테라퓨틱</t>
        </is>
      </c>
      <c r="C19" t="inlineStr"/>
      <c r="D19" t="n">
        <v>64100</v>
      </c>
      <c r="E19" t="n">
        <v>74.123958</v>
      </c>
      <c r="F19" t="n">
        <v>60.1</v>
      </c>
      <c r="G19" t="n">
        <v>40.1</v>
      </c>
      <c r="H19" t="n">
        <v>72.40000000000001</v>
      </c>
      <c r="I19" t="n">
        <v>59.3</v>
      </c>
      <c r="J19" t="n">
        <v>14.7</v>
      </c>
      <c r="K19" t="n">
        <v>33.40098878100214</v>
      </c>
      <c r="L19" t="n">
        <v>18.73063733017192</v>
      </c>
      <c r="M19" t="n">
        <v>0.5587173051231938</v>
      </c>
      <c r="N19" t="n">
        <v>36.5</v>
      </c>
      <c r="O19" t="n">
        <v>222.4</v>
      </c>
      <c r="P19" t="n">
        <v>0</v>
      </c>
      <c r="Q19" t="n">
        <v>0</v>
      </c>
      <c r="R19" t="n">
        <v>0</v>
      </c>
      <c r="S19" t="n">
        <v>4.640935627479804</v>
      </c>
      <c r="T19" t="n">
        <v>32296.23409690525</v>
      </c>
    </row>
    <row r="20">
      <c r="A20" t="inlineStr">
        <is>
          <t>A462860</t>
        </is>
      </c>
      <c r="B20" t="inlineStr">
        <is>
          <t>더즌</t>
        </is>
      </c>
      <c r="C20" t="inlineStr"/>
      <c r="D20" t="n">
        <v>2720</v>
      </c>
      <c r="E20" t="n">
        <v>4.1743024</v>
      </c>
      <c r="F20" t="n">
        <v>59.6</v>
      </c>
      <c r="G20" t="n">
        <v>43.9</v>
      </c>
      <c r="H20" t="n">
        <v>75</v>
      </c>
      <c r="I20" t="n">
        <v>44.4</v>
      </c>
      <c r="J20" t="n">
        <v>3.2</v>
      </c>
      <c r="K20" t="n">
        <v>30.15839501297305</v>
      </c>
      <c r="L20" t="n">
        <v>26.92737684565948</v>
      </c>
      <c r="M20" t="n">
        <v>0.42199562157579</v>
      </c>
      <c r="N20" t="n">
        <v>1.9</v>
      </c>
      <c r="O20" t="n">
        <v>38.6</v>
      </c>
      <c r="P20" t="n">
        <v>0</v>
      </c>
      <c r="Q20" t="n">
        <v>0</v>
      </c>
      <c r="R20" t="n">
        <v>0</v>
      </c>
      <c r="S20" t="n">
        <v>2.750232842211192</v>
      </c>
      <c r="T20" t="n">
        <v>1238.887021738294</v>
      </c>
    </row>
    <row r="21">
      <c r="A21" t="inlineStr">
        <is>
          <t>A474650</t>
        </is>
      </c>
      <c r="B21" t="inlineStr">
        <is>
          <t>링크솔루션</t>
        </is>
      </c>
      <c r="C21" t="inlineStr"/>
      <c r="D21" t="n">
        <v>42500</v>
      </c>
      <c r="E21" t="n">
        <v>24.40265</v>
      </c>
      <c r="F21" t="n">
        <v>59.3</v>
      </c>
      <c r="G21" t="n">
        <v>23.6</v>
      </c>
      <c r="H21" t="n">
        <v>80.40000000000001</v>
      </c>
      <c r="I21" t="n">
        <v>60</v>
      </c>
      <c r="J21" t="n">
        <v>8.5</v>
      </c>
      <c r="K21" t="n">
        <v>25.84897861583133</v>
      </c>
      <c r="L21" t="n">
        <v>17.30718512010093</v>
      </c>
      <c r="M21" t="n">
        <v>0.5604459907731095</v>
      </c>
      <c r="N21" t="n">
        <v>3.6</v>
      </c>
      <c r="O21" t="n">
        <v>87.3</v>
      </c>
      <c r="P21" t="n">
        <v>0</v>
      </c>
      <c r="Q21" t="n">
        <v>0</v>
      </c>
      <c r="R21" t="n">
        <v>0</v>
      </c>
      <c r="S21" t="n">
        <v>3.496962236438847</v>
      </c>
      <c r="T21" t="n">
        <v>19468.93612101632</v>
      </c>
    </row>
    <row r="22">
      <c r="A22" t="inlineStr">
        <is>
          <t>A318060</t>
        </is>
      </c>
      <c r="B22" t="inlineStr">
        <is>
          <t>그래피</t>
        </is>
      </c>
      <c r="C22" t="inlineStr"/>
      <c r="D22" t="n">
        <v>23700</v>
      </c>
      <c r="E22" t="n">
        <v>44.930223</v>
      </c>
      <c r="F22" t="n">
        <v>58.8</v>
      </c>
      <c r="G22" t="n">
        <v>51.8</v>
      </c>
      <c r="H22" t="n">
        <v>51.6</v>
      </c>
      <c r="I22" t="n">
        <v>87.40000000000001</v>
      </c>
      <c r="J22" t="n">
        <v>14.4</v>
      </c>
      <c r="K22" t="n">
        <v>31.2981427638977</v>
      </c>
      <c r="L22" t="n">
        <v>16.86598820899504</v>
      </c>
      <c r="M22" t="n">
        <v>0.9681199948116094</v>
      </c>
      <c r="N22" t="n">
        <v>-61.6</v>
      </c>
      <c r="O22" t="n">
        <v>31.8</v>
      </c>
      <c r="P22" t="n">
        <v>0</v>
      </c>
      <c r="Q22" t="n">
        <v>0</v>
      </c>
      <c r="R22" t="n">
        <v>0</v>
      </c>
      <c r="S22" t="n">
        <v>4.678906428402748</v>
      </c>
      <c r="T22" t="n">
        <v>10778.5557083447</v>
      </c>
    </row>
    <row r="23">
      <c r="A23" t="inlineStr">
        <is>
          <t>A209640</t>
        </is>
      </c>
      <c r="B23" t="inlineStr">
        <is>
          <t>와이제이링크</t>
        </is>
      </c>
      <c r="C23" t="inlineStr"/>
      <c r="D23" t="n">
        <v>5980</v>
      </c>
      <c r="E23" t="n">
        <v>39.2680288</v>
      </c>
      <c r="F23" t="n">
        <v>58.8</v>
      </c>
      <c r="G23" t="n">
        <v>40.8</v>
      </c>
      <c r="H23" t="n">
        <v>75.7</v>
      </c>
      <c r="I23" t="n">
        <v>43.7</v>
      </c>
      <c r="J23" t="n">
        <v>0.4</v>
      </c>
      <c r="K23" t="n">
        <v>37.41689293175964</v>
      </c>
      <c r="L23" t="n">
        <v>37.02765802853035</v>
      </c>
      <c r="M23" t="n">
        <v>0.4149543597029633</v>
      </c>
      <c r="N23" t="n">
        <v>0</v>
      </c>
      <c r="O23" t="n">
        <v>66.5</v>
      </c>
      <c r="P23" t="n">
        <v>0</v>
      </c>
      <c r="Q23" t="n">
        <v>0</v>
      </c>
      <c r="R23" t="n">
        <v>0</v>
      </c>
      <c r="S23" t="n">
        <v>7.628140094168466</v>
      </c>
      <c r="T23" t="n">
        <v>4374.97380443287</v>
      </c>
    </row>
    <row r="24">
      <c r="A24" t="inlineStr">
        <is>
          <t>A061090</t>
        </is>
      </c>
      <c r="B24" t="inlineStr">
        <is>
          <t>세나테크놀로지</t>
        </is>
      </c>
      <c r="C24" t="inlineStr"/>
      <c r="D24" t="n">
        <v>49800</v>
      </c>
      <c r="E24" t="n">
        <v>94.43474399999999</v>
      </c>
      <c r="F24" t="n">
        <v>58.2</v>
      </c>
      <c r="G24" t="n">
        <v>75.59999999999999</v>
      </c>
      <c r="H24" t="n">
        <v>32.7</v>
      </c>
      <c r="I24" t="n">
        <v>95.59999999999999</v>
      </c>
      <c r="J24" t="n">
        <v>7.5</v>
      </c>
      <c r="K24" t="n">
        <v>57.99937129841109</v>
      </c>
      <c r="L24" t="n">
        <v>50.45255569060734</v>
      </c>
      <c r="M24" t="n">
        <v>1.83888829627331</v>
      </c>
      <c r="N24" t="n">
        <v>-5.1</v>
      </c>
      <c r="O24" t="n">
        <v>-49.7</v>
      </c>
      <c r="P24" t="n">
        <v>1</v>
      </c>
      <c r="Q24" t="n">
        <v>1</v>
      </c>
      <c r="R24" t="n">
        <v>1</v>
      </c>
      <c r="S24" t="n">
        <v>7.991728775716518</v>
      </c>
      <c r="T24" t="n">
        <v>16908.97924025482</v>
      </c>
    </row>
    <row r="25">
      <c r="A25" t="inlineStr">
        <is>
          <t>A461300</t>
        </is>
      </c>
      <c r="B25" t="inlineStr">
        <is>
          <t>아이스크림미디어</t>
        </is>
      </c>
      <c r="C25" t="inlineStr"/>
      <c r="D25" t="n">
        <v>16730</v>
      </c>
      <c r="E25" t="n">
        <v>10.7175726</v>
      </c>
      <c r="F25" t="n">
        <v>58.2</v>
      </c>
      <c r="G25" t="n">
        <v>55.9</v>
      </c>
      <c r="H25" t="n">
        <v>48.1</v>
      </c>
      <c r="I25" t="n">
        <v>86.7</v>
      </c>
      <c r="J25" t="n">
        <v>18</v>
      </c>
      <c r="K25" t="n">
        <v>44.80855522960361</v>
      </c>
      <c r="L25" t="n">
        <v>26.78738891904314</v>
      </c>
      <c r="M25" t="n">
        <v>0.9448247534587308</v>
      </c>
      <c r="N25" t="n">
        <v>-8.800000000000001</v>
      </c>
      <c r="O25" t="n">
        <v>26.2</v>
      </c>
      <c r="P25" t="n">
        <v>0</v>
      </c>
      <c r="Q25" t="n">
        <v>0</v>
      </c>
      <c r="R25" t="n">
        <v>0</v>
      </c>
      <c r="S25" t="n">
        <v>2.707899673992769</v>
      </c>
      <c r="T25" t="n">
        <v>2409.55641255049</v>
      </c>
    </row>
    <row r="26">
      <c r="A26" t="inlineStr">
        <is>
          <t>A413390</t>
        </is>
      </c>
      <c r="B26" t="inlineStr">
        <is>
          <t>엠오티</t>
        </is>
      </c>
      <c r="C26" t="inlineStr"/>
      <c r="D26" t="n">
        <v>7340</v>
      </c>
      <c r="E26" t="n">
        <v>7.5423638</v>
      </c>
      <c r="F26" t="n">
        <v>57.8</v>
      </c>
      <c r="G26" t="n">
        <v>64.09999999999999</v>
      </c>
      <c r="H26" t="n">
        <v>43.9</v>
      </c>
      <c r="I26" t="n">
        <v>83</v>
      </c>
      <c r="J26" t="n">
        <v>-0.4</v>
      </c>
      <c r="K26" t="n">
        <v>38.43828089807334</v>
      </c>
      <c r="L26" t="n">
        <v>38.85539512682158</v>
      </c>
      <c r="M26" t="n">
        <v>0.8641832027685619</v>
      </c>
      <c r="N26" t="n">
        <v>-0</v>
      </c>
      <c r="O26" t="n">
        <v>-6.5</v>
      </c>
      <c r="P26" t="n">
        <v>0</v>
      </c>
      <c r="Q26" t="n">
        <v>0</v>
      </c>
      <c r="R26" t="n">
        <v>0</v>
      </c>
      <c r="S26" t="n">
        <v>3.724663789740761</v>
      </c>
      <c r="T26" t="n">
        <v>3154.73512108553</v>
      </c>
    </row>
    <row r="27">
      <c r="A27" t="inlineStr">
        <is>
          <t>A287840</t>
        </is>
      </c>
      <c r="B27" t="inlineStr">
        <is>
          <t>인투셀</t>
        </is>
      </c>
      <c r="C27" t="inlineStr"/>
      <c r="D27" t="n">
        <v>26400</v>
      </c>
      <c r="E27" t="n">
        <v>12.1044</v>
      </c>
      <c r="F27" t="n">
        <v>57.2</v>
      </c>
      <c r="G27" t="n">
        <v>28.7</v>
      </c>
      <c r="H27" t="n">
        <v>74.3</v>
      </c>
      <c r="I27" t="n">
        <v>57</v>
      </c>
      <c r="J27" t="n">
        <v>10.3</v>
      </c>
      <c r="K27" t="n">
        <v>24.57758536025586</v>
      </c>
      <c r="L27" t="n">
        <v>14.26279531563138</v>
      </c>
      <c r="M27" t="n">
        <v>0.5421041088180889</v>
      </c>
      <c r="N27" t="n">
        <v>8.1</v>
      </c>
      <c r="O27" t="n">
        <v>-9.199999999999999</v>
      </c>
      <c r="P27" t="n">
        <v>0</v>
      </c>
      <c r="Q27" t="n">
        <v>0</v>
      </c>
      <c r="R27" t="n">
        <v>0</v>
      </c>
      <c r="S27" t="n">
        <v>2.859477262095634</v>
      </c>
      <c r="T27" t="n">
        <v>10803.60076426764</v>
      </c>
    </row>
    <row r="28">
      <c r="A28" t="inlineStr">
        <is>
          <t>A482630</t>
        </is>
      </c>
      <c r="B28" t="inlineStr">
        <is>
          <t>삼양엔씨켐</t>
        </is>
      </c>
      <c r="C28" t="inlineStr"/>
      <c r="D28" t="n">
        <v>15710</v>
      </c>
      <c r="E28" t="n">
        <v>65.1049107</v>
      </c>
      <c r="F28" t="n">
        <v>57</v>
      </c>
      <c r="G28" t="n">
        <v>63.4</v>
      </c>
      <c r="H28" t="n">
        <v>45.8</v>
      </c>
      <c r="I28" t="n">
        <v>75.59999999999999</v>
      </c>
      <c r="J28" t="n">
        <v>8.6</v>
      </c>
      <c r="K28" t="n">
        <v>37.28672051478913</v>
      </c>
      <c r="L28" t="n">
        <v>28.70954174001226</v>
      </c>
      <c r="M28" t="n">
        <v>0.7450716315455495</v>
      </c>
      <c r="N28" t="n">
        <v>6.5</v>
      </c>
      <c r="O28" t="n">
        <v>12.8</v>
      </c>
      <c r="P28" t="n">
        <v>0</v>
      </c>
      <c r="Q28" t="n">
        <v>0</v>
      </c>
      <c r="R28" t="n">
        <v>0</v>
      </c>
      <c r="S28" t="n">
        <v>6.043884667531189</v>
      </c>
      <c r="T28" t="n">
        <v>9514.970807820915</v>
      </c>
    </row>
    <row r="29">
      <c r="A29" t="inlineStr">
        <is>
          <t>A308430</t>
        </is>
      </c>
      <c r="B29" t="inlineStr">
        <is>
          <t>셀비온</t>
        </is>
      </c>
      <c r="C29" t="inlineStr"/>
      <c r="D29" t="n">
        <v>19170</v>
      </c>
      <c r="E29" t="n">
        <v>14.6916963</v>
      </c>
      <c r="F29" t="n">
        <v>56.6</v>
      </c>
      <c r="G29" t="n">
        <v>12</v>
      </c>
      <c r="H29" t="n">
        <v>78.5</v>
      </c>
      <c r="I29" t="n">
        <v>68.90000000000001</v>
      </c>
      <c r="J29" t="n">
        <v>16.5</v>
      </c>
      <c r="K29" t="n">
        <v>20.82335022934055</v>
      </c>
      <c r="L29" t="n">
        <v>4.304378017169294</v>
      </c>
      <c r="M29" t="n">
        <v>0.6338521494104288</v>
      </c>
      <c r="N29" t="n">
        <v>4</v>
      </c>
      <c r="O29" t="n">
        <v>41.9</v>
      </c>
      <c r="P29" t="n">
        <v>0</v>
      </c>
      <c r="Q29" t="n">
        <v>0</v>
      </c>
      <c r="R29" t="n">
        <v>0</v>
      </c>
      <c r="S29" t="n">
        <v>4.297739482499726</v>
      </c>
      <c r="T29" t="n">
        <v>14096.81352572081</v>
      </c>
    </row>
    <row r="30">
      <c r="A30" t="inlineStr">
        <is>
          <t>A489500</t>
        </is>
      </c>
      <c r="B30" t="inlineStr">
        <is>
          <t>엘케이켐</t>
        </is>
      </c>
      <c r="C30" t="inlineStr"/>
      <c r="D30" t="n">
        <v>28800</v>
      </c>
      <c r="E30" t="n">
        <v>12.048768</v>
      </c>
      <c r="F30" t="n">
        <v>56.2</v>
      </c>
      <c r="G30" t="n">
        <v>49.2</v>
      </c>
      <c r="H30" t="n">
        <v>71</v>
      </c>
      <c r="I30" t="n">
        <v>29.6</v>
      </c>
      <c r="J30" t="n">
        <v>-7.6</v>
      </c>
      <c r="K30" t="n">
        <v>37.84524360894386</v>
      </c>
      <c r="L30" t="n">
        <v>45.42201381965705</v>
      </c>
      <c r="M30" t="n">
        <v>0.3420083466517337</v>
      </c>
      <c r="N30" t="n">
        <v>1.1</v>
      </c>
      <c r="O30" t="n">
        <v>8.800000000000001</v>
      </c>
      <c r="P30" t="n">
        <v>0</v>
      </c>
      <c r="Q30" t="n">
        <v>0</v>
      </c>
      <c r="R30" t="n">
        <v>0</v>
      </c>
      <c r="S30" t="n">
        <v>4.989108692109308</v>
      </c>
      <c r="T30" t="n">
        <v>12009.6934532945</v>
      </c>
    </row>
    <row r="31">
      <c r="A31" t="inlineStr">
        <is>
          <t>A160190</t>
        </is>
      </c>
      <c r="B31" t="inlineStr">
        <is>
          <t>하이젠알앤엠</t>
        </is>
      </c>
      <c r="C31" t="inlineStr"/>
      <c r="D31" t="n">
        <v>30450</v>
      </c>
      <c r="E31" t="n">
        <v>40.2338895</v>
      </c>
      <c r="F31" t="n">
        <v>55.5</v>
      </c>
      <c r="G31" t="n">
        <v>36.1</v>
      </c>
      <c r="H31" t="n">
        <v>68.59999999999999</v>
      </c>
      <c r="I31" t="n">
        <v>51.9</v>
      </c>
      <c r="J31" t="n">
        <v>13.8</v>
      </c>
      <c r="K31" t="n">
        <v>33.02631776002978</v>
      </c>
      <c r="L31" t="n">
        <v>19.17673415288736</v>
      </c>
      <c r="M31" t="n">
        <v>0.4854938989461632</v>
      </c>
      <c r="N31" t="n">
        <v>116.4</v>
      </c>
      <c r="O31" t="n">
        <v>-6.4</v>
      </c>
      <c r="P31" t="n">
        <v>0</v>
      </c>
      <c r="Q31" t="n">
        <v>0</v>
      </c>
      <c r="R31" t="n">
        <v>0</v>
      </c>
      <c r="S31" t="n">
        <v>4.583912803841004</v>
      </c>
      <c r="T31" t="n">
        <v>18045.97637031307</v>
      </c>
    </row>
    <row r="32">
      <c r="A32" t="inlineStr">
        <is>
          <t>A309710</t>
        </is>
      </c>
      <c r="B32" t="inlineStr">
        <is>
          <t>아이티켐</t>
        </is>
      </c>
      <c r="C32" t="inlineStr"/>
      <c r="D32" t="n">
        <v>21000</v>
      </c>
      <c r="E32" t="inlineStr"/>
      <c r="F32" t="n">
        <v>55.4</v>
      </c>
      <c r="G32" t="n">
        <v>60.8</v>
      </c>
      <c r="H32" t="n">
        <v>54.4</v>
      </c>
      <c r="I32" t="n">
        <v>50</v>
      </c>
      <c r="J32" t="inlineStr"/>
      <c r="K32" t="n">
        <v>48.75195620128412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A464280</t>
        </is>
      </c>
      <c r="B33" t="inlineStr">
        <is>
          <t>티디에스팜</t>
        </is>
      </c>
      <c r="C33" t="inlineStr"/>
      <c r="D33" t="n">
        <v>7010</v>
      </c>
      <c r="E33" t="n">
        <v>2.0935365</v>
      </c>
      <c r="F33" t="n">
        <v>55</v>
      </c>
      <c r="G33" t="n">
        <v>40</v>
      </c>
      <c r="H33" t="n">
        <v>53.7</v>
      </c>
      <c r="I33" t="n">
        <v>80.7</v>
      </c>
      <c r="J33" t="n">
        <v>8.4</v>
      </c>
      <c r="K33" t="n">
        <v>30.17775756848875</v>
      </c>
      <c r="L33" t="n">
        <v>21.81480380144431</v>
      </c>
      <c r="M33" t="n">
        <v>0.8389787298595242</v>
      </c>
      <c r="N33" t="n">
        <v>0</v>
      </c>
      <c r="O33" t="n">
        <v>0.1</v>
      </c>
      <c r="P33" t="n">
        <v>0</v>
      </c>
      <c r="Q33" t="n">
        <v>0</v>
      </c>
      <c r="R33" t="n">
        <v>0</v>
      </c>
      <c r="S33" t="n">
        <v>3.000764860728244</v>
      </c>
      <c r="T33" t="n">
        <v>2069.995169076487</v>
      </c>
    </row>
    <row r="34">
      <c r="A34" t="inlineStr">
        <is>
          <t>A486990</t>
        </is>
      </c>
      <c r="B34" t="inlineStr">
        <is>
          <t>노타</t>
        </is>
      </c>
      <c r="C34" t="inlineStr"/>
      <c r="D34" t="n">
        <v>39100</v>
      </c>
      <c r="E34" t="n">
        <v>570.738399</v>
      </c>
      <c r="F34" t="n">
        <v>54.6</v>
      </c>
      <c r="G34" t="n">
        <v>98</v>
      </c>
      <c r="H34" t="n">
        <v>11.2</v>
      </c>
      <c r="I34" t="n">
        <v>97.8</v>
      </c>
      <c r="J34" t="n">
        <v>11.9</v>
      </c>
      <c r="K34" t="n">
        <v>60.28105858483153</v>
      </c>
      <c r="L34" t="n">
        <v>48.41635840371533</v>
      </c>
      <c r="M34" t="n">
        <v>2.246688986992978</v>
      </c>
      <c r="N34" t="n">
        <v>-143.8</v>
      </c>
      <c r="O34" t="n">
        <v>-73.7</v>
      </c>
      <c r="P34" t="n">
        <v>1</v>
      </c>
      <c r="Q34" t="n">
        <v>1</v>
      </c>
      <c r="R34" t="n">
        <v>1</v>
      </c>
      <c r="S34" t="n">
        <v>7.486459254269123</v>
      </c>
      <c r="T34" t="n">
        <v>15441.88085080721</v>
      </c>
    </row>
    <row r="35">
      <c r="A35" t="inlineStr">
        <is>
          <t>A031210</t>
        </is>
      </c>
      <c r="B35" t="inlineStr">
        <is>
          <t>서울보증보험</t>
        </is>
      </c>
      <c r="C35" t="inlineStr"/>
      <c r="D35" t="n">
        <v>43450</v>
      </c>
      <c r="E35" t="n">
        <v>21.7714915</v>
      </c>
      <c r="F35" t="n">
        <v>54.6</v>
      </c>
      <c r="G35" t="n">
        <v>57.7</v>
      </c>
      <c r="H35" t="n">
        <v>49.1</v>
      </c>
      <c r="I35" t="n">
        <v>63.7</v>
      </c>
      <c r="J35" t="n">
        <v>8.300000000000001</v>
      </c>
      <c r="K35" t="n">
        <v>37.13082853547521</v>
      </c>
      <c r="L35" t="n">
        <v>28.81926323399954</v>
      </c>
      <c r="M35" t="n">
        <v>0.5954942476280118</v>
      </c>
      <c r="N35" t="n">
        <v>-121.3</v>
      </c>
      <c r="O35" t="n">
        <v>164.1</v>
      </c>
      <c r="P35" t="n">
        <v>0</v>
      </c>
      <c r="Q35" t="n">
        <v>0</v>
      </c>
      <c r="R35" t="n">
        <v>0</v>
      </c>
      <c r="S35" t="n">
        <v>2.289746073156413</v>
      </c>
      <c r="T35" t="n">
        <v>5308.939828747403</v>
      </c>
    </row>
    <row r="36">
      <c r="A36" t="inlineStr">
        <is>
          <t>A382150</t>
        </is>
      </c>
      <c r="B36" t="inlineStr">
        <is>
          <t>온코크로스</t>
        </is>
      </c>
      <c r="C36" t="inlineStr"/>
      <c r="D36" t="n">
        <v>5350</v>
      </c>
      <c r="E36" t="n">
        <v>4.24255</v>
      </c>
      <c r="F36" t="n">
        <v>54.5</v>
      </c>
      <c r="G36" t="n">
        <v>21.3</v>
      </c>
      <c r="H36" t="n">
        <v>64.5</v>
      </c>
      <c r="I36" t="n">
        <v>79.3</v>
      </c>
      <c r="J36" t="n">
        <v>11.2</v>
      </c>
      <c r="K36" t="n">
        <v>28.04204756373867</v>
      </c>
      <c r="L36" t="n">
        <v>16.79804151573177</v>
      </c>
      <c r="M36" t="n">
        <v>0.7832767935235948</v>
      </c>
      <c r="N36" t="n">
        <v>0.1</v>
      </c>
      <c r="O36" t="n">
        <v>9</v>
      </c>
      <c r="P36" t="n">
        <v>0</v>
      </c>
      <c r="Q36" t="n">
        <v>0</v>
      </c>
      <c r="R36" t="n">
        <v>0</v>
      </c>
      <c r="S36" t="n">
        <v>4.796942505803871</v>
      </c>
      <c r="T36" t="n">
        <v>3033.444455261691</v>
      </c>
    </row>
    <row r="37">
      <c r="A37" t="inlineStr">
        <is>
          <t>A234030</t>
        </is>
      </c>
      <c r="B37" t="inlineStr">
        <is>
          <t>싸이닉솔루션</t>
        </is>
      </c>
      <c r="C37" t="inlineStr"/>
      <c r="D37" t="n">
        <v>4735</v>
      </c>
      <c r="E37" t="n">
        <v>5.8319101</v>
      </c>
      <c r="F37" t="n">
        <v>53.4</v>
      </c>
      <c r="G37" t="n">
        <v>27.2</v>
      </c>
      <c r="H37" t="n">
        <v>65.59999999999999</v>
      </c>
      <c r="I37" t="n">
        <v>62.2</v>
      </c>
      <c r="J37" t="n">
        <v>-0.7</v>
      </c>
      <c r="K37" t="n">
        <v>24.55316929938218</v>
      </c>
      <c r="L37" t="n">
        <v>25.27210099503265</v>
      </c>
      <c r="M37" t="n">
        <v>0.580133104764363</v>
      </c>
      <c r="N37" t="n">
        <v>-3.7</v>
      </c>
      <c r="O37" t="n">
        <v>18.9</v>
      </c>
      <c r="P37" t="n">
        <v>0</v>
      </c>
      <c r="Q37" t="n">
        <v>0</v>
      </c>
      <c r="R37" t="n">
        <v>0</v>
      </c>
      <c r="S37" t="n">
        <v>3.279698319529072</v>
      </c>
      <c r="T37" t="n">
        <v>3189.921464138015</v>
      </c>
    </row>
    <row r="38">
      <c r="A38" t="inlineStr">
        <is>
          <t>A468530</t>
        </is>
      </c>
      <c r="B38" t="inlineStr">
        <is>
          <t>프로티나</t>
        </is>
      </c>
      <c r="C38" t="inlineStr"/>
      <c r="D38" t="n">
        <v>37500</v>
      </c>
      <c r="E38" t="n">
        <v>21.2535</v>
      </c>
      <c r="F38" t="n">
        <v>53.3</v>
      </c>
      <c r="G38" t="n">
        <v>42</v>
      </c>
      <c r="H38" t="n">
        <v>52</v>
      </c>
      <c r="I38" t="n">
        <v>73.3</v>
      </c>
      <c r="J38" t="n">
        <v>10.9</v>
      </c>
      <c r="K38" t="n">
        <v>26.4240755187279</v>
      </c>
      <c r="L38" t="n">
        <v>15.52149517029838</v>
      </c>
      <c r="M38" t="n">
        <v>0.6899548965542428</v>
      </c>
      <c r="N38" t="n">
        <v>-90</v>
      </c>
      <c r="O38" t="n">
        <v>151.2</v>
      </c>
      <c r="P38" t="n">
        <v>0</v>
      </c>
      <c r="Q38" t="n">
        <v>0</v>
      </c>
      <c r="R38" t="n">
        <v>0</v>
      </c>
      <c r="S38" t="n">
        <v>4.212455363978465</v>
      </c>
      <c r="T38" t="n">
        <v>21901.2520670683</v>
      </c>
    </row>
    <row r="39">
      <c r="A39" t="inlineStr">
        <is>
          <t>A064400</t>
        </is>
      </c>
      <c r="B39" t="inlineStr">
        <is>
          <t>LG씨엔에스</t>
        </is>
      </c>
      <c r="C39" t="inlineStr"/>
      <c r="D39" t="n">
        <v>126400</v>
      </c>
      <c r="E39" t="n">
        <v>4203.993216</v>
      </c>
      <c r="F39" t="n">
        <v>53.2</v>
      </c>
      <c r="G39" t="n">
        <v>71.5</v>
      </c>
      <c r="H39" t="n">
        <v>30.7</v>
      </c>
      <c r="I39" t="n">
        <v>82.2</v>
      </c>
      <c r="J39" t="n">
        <v>-9.199999999999999</v>
      </c>
      <c r="K39" t="n">
        <v>68.98448802787466</v>
      </c>
      <c r="L39" t="n">
        <v>78.15032700887383</v>
      </c>
      <c r="M39" t="n">
        <v>0.8481743714698307</v>
      </c>
      <c r="N39" t="n">
        <v>-1246.3</v>
      </c>
      <c r="O39" t="n">
        <v>-7420.8</v>
      </c>
      <c r="P39" t="n">
        <v>1</v>
      </c>
      <c r="Q39" t="n">
        <v>1</v>
      </c>
      <c r="R39" t="n">
        <v>1</v>
      </c>
      <c r="S39" t="n">
        <v>9.069935663872611</v>
      </c>
      <c r="T39" t="n">
        <v>92024.19819064753</v>
      </c>
    </row>
    <row r="40">
      <c r="A40" t="inlineStr">
        <is>
          <t>A376270</t>
        </is>
      </c>
      <c r="B40" t="inlineStr">
        <is>
          <t>HEM파마</t>
        </is>
      </c>
      <c r="C40" t="inlineStr"/>
      <c r="D40" t="n">
        <v>49250</v>
      </c>
      <c r="E40" t="n">
        <v>11.23491</v>
      </c>
      <c r="F40" t="n">
        <v>53.1</v>
      </c>
      <c r="G40" t="n">
        <v>61.3</v>
      </c>
      <c r="H40" t="n">
        <v>42.5</v>
      </c>
      <c r="I40" t="n">
        <v>67.40000000000001</v>
      </c>
      <c r="J40" t="n">
        <v>12.1</v>
      </c>
      <c r="K40" t="n">
        <v>35.28452990585627</v>
      </c>
      <c r="L40" t="n">
        <v>23.16299344348508</v>
      </c>
      <c r="M40" t="n">
        <v>0.624066444528339</v>
      </c>
      <c r="N40" t="n">
        <v>40.4</v>
      </c>
      <c r="O40" t="n">
        <v>-12.6</v>
      </c>
      <c r="P40" t="n">
        <v>0</v>
      </c>
      <c r="Q40" t="n">
        <v>0</v>
      </c>
      <c r="R40" t="n">
        <v>0</v>
      </c>
      <c r="S40" t="n">
        <v>5.083242236310481</v>
      </c>
      <c r="T40" t="n">
        <v>32413.9930796627</v>
      </c>
    </row>
    <row r="41">
      <c r="A41" t="inlineStr">
        <is>
          <t>A393970</t>
        </is>
      </c>
      <c r="B41" t="inlineStr">
        <is>
          <t>대진첨단소재</t>
        </is>
      </c>
      <c r="C41" t="inlineStr"/>
      <c r="D41" t="n">
        <v>2825</v>
      </c>
      <c r="E41" t="inlineStr"/>
      <c r="F41" t="n">
        <v>53</v>
      </c>
      <c r="G41" t="n">
        <v>52.7</v>
      </c>
      <c r="H41" t="n">
        <v>54.4</v>
      </c>
      <c r="I41" t="n">
        <v>50</v>
      </c>
      <c r="J41" t="inlineStr"/>
      <c r="K41" t="inlineStr"/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A096250</t>
        </is>
      </c>
      <c r="B42" t="inlineStr">
        <is>
          <t>와이즈넛</t>
        </is>
      </c>
      <c r="C42" t="inlineStr"/>
      <c r="D42" t="n">
        <v>7890</v>
      </c>
      <c r="E42" t="n">
        <v>5.0349246</v>
      </c>
      <c r="F42" t="n">
        <v>52</v>
      </c>
      <c r="G42" t="n">
        <v>46.2</v>
      </c>
      <c r="H42" t="n">
        <v>42</v>
      </c>
      <c r="I42" t="n">
        <v>85.90000000000001</v>
      </c>
      <c r="J42" t="n">
        <v>16.3</v>
      </c>
      <c r="K42" t="n">
        <v>29.41620506392772</v>
      </c>
      <c r="L42" t="n">
        <v>13.11065535473562</v>
      </c>
      <c r="M42" t="n">
        <v>0.9190849765454306</v>
      </c>
      <c r="N42" t="n">
        <v>-4.1</v>
      </c>
      <c r="O42" t="n">
        <v>15.4</v>
      </c>
      <c r="P42" t="n">
        <v>0</v>
      </c>
      <c r="Q42" t="n">
        <v>0</v>
      </c>
      <c r="R42" t="n">
        <v>0</v>
      </c>
      <c r="S42" t="n">
        <v>2.860164487758514</v>
      </c>
      <c r="T42" t="n">
        <v>3237.519518331735</v>
      </c>
    </row>
    <row r="43">
      <c r="A43" t="inlineStr">
        <is>
          <t>A463020</t>
        </is>
      </c>
      <c r="B43" t="inlineStr">
        <is>
          <t>뉴엔AI</t>
        </is>
      </c>
      <c r="C43" t="inlineStr"/>
      <c r="D43" t="n">
        <v>8820</v>
      </c>
      <c r="E43" t="n">
        <v>8.722186199999999</v>
      </c>
      <c r="F43" t="n">
        <v>51.8</v>
      </c>
      <c r="G43" t="n">
        <v>25.3</v>
      </c>
      <c r="H43" t="n">
        <v>51.9</v>
      </c>
      <c r="I43" t="n">
        <v>91.09999999999999</v>
      </c>
      <c r="J43" t="n">
        <v>2.4</v>
      </c>
      <c r="K43" t="n">
        <v>26.07442916739495</v>
      </c>
      <c r="L43" t="n">
        <v>23.71003261404047</v>
      </c>
      <c r="M43" t="n">
        <v>1.065199021306458</v>
      </c>
      <c r="N43" t="n">
        <v>-2</v>
      </c>
      <c r="O43" t="n">
        <v>25.3</v>
      </c>
      <c r="P43" t="n">
        <v>0</v>
      </c>
      <c r="Q43" t="n">
        <v>0</v>
      </c>
      <c r="R43" t="n">
        <v>0</v>
      </c>
      <c r="S43" t="n">
        <v>3.908125309939439</v>
      </c>
      <c r="T43" t="n">
        <v>7318.101278049493</v>
      </c>
    </row>
    <row r="44">
      <c r="A44" t="inlineStr">
        <is>
          <t>A455900</t>
        </is>
      </c>
      <c r="B44" t="inlineStr">
        <is>
          <t>엔젤로보틱스</t>
        </is>
      </c>
      <c r="C44" t="inlineStr"/>
      <c r="D44" t="n">
        <v>27200</v>
      </c>
      <c r="E44" t="n">
        <v>27.34008</v>
      </c>
      <c r="F44" t="n">
        <v>51.4</v>
      </c>
      <c r="G44" t="n">
        <v>44.5</v>
      </c>
      <c r="H44" t="n">
        <v>50</v>
      </c>
      <c r="I44" t="n">
        <v>65.2</v>
      </c>
      <c r="J44" t="n">
        <v>3.7</v>
      </c>
      <c r="K44" t="n">
        <v>46.45263630788812</v>
      </c>
      <c r="L44" t="n">
        <v>42.79445134108769</v>
      </c>
      <c r="M44" t="n">
        <v>0.6090057601529739</v>
      </c>
      <c r="N44" t="inlineStr"/>
      <c r="O44" t="inlineStr"/>
      <c r="P44" t="n">
        <v>0</v>
      </c>
      <c r="Q44" t="n">
        <v>0</v>
      </c>
      <c r="R44" t="n">
        <v>0</v>
      </c>
      <c r="S44" t="n">
        <v>5.586958652888521</v>
      </c>
      <c r="T44" t="n">
        <v>6623.3637502723</v>
      </c>
    </row>
    <row r="45">
      <c r="A45" t="inlineStr">
        <is>
          <t>A373160</t>
        </is>
      </c>
      <c r="B45" t="inlineStr">
        <is>
          <t>데이원컴퍼니</t>
        </is>
      </c>
      <c r="C45" t="inlineStr"/>
      <c r="D45" t="n">
        <v>3800</v>
      </c>
      <c r="E45" t="n">
        <v>0.45809</v>
      </c>
      <c r="F45" t="n">
        <v>51.3</v>
      </c>
      <c r="G45" t="n">
        <v>38.8</v>
      </c>
      <c r="H45" t="n">
        <v>64.2</v>
      </c>
      <c r="I45" t="n">
        <v>37.8</v>
      </c>
      <c r="J45" t="n">
        <v>13.7</v>
      </c>
      <c r="K45" t="n">
        <v>32.81447344873337</v>
      </c>
      <c r="L45" t="n">
        <v>19.11910030208908</v>
      </c>
      <c r="M45" t="n">
        <v>0.3800896702631463</v>
      </c>
      <c r="N45" t="n">
        <v>3.1</v>
      </c>
      <c r="O45" t="n">
        <v>2.2</v>
      </c>
      <c r="P45" t="n">
        <v>0</v>
      </c>
      <c r="Q45" t="n">
        <v>0</v>
      </c>
      <c r="R45" t="n">
        <v>0</v>
      </c>
      <c r="S45" t="n">
        <v>4.031244654452514</v>
      </c>
      <c r="T45" t="n">
        <v>1398.933428309619</v>
      </c>
    </row>
    <row r="46">
      <c r="A46" t="inlineStr">
        <is>
          <t>A456070</t>
        </is>
      </c>
      <c r="B46" t="inlineStr">
        <is>
          <t>이엔셀</t>
        </is>
      </c>
      <c r="C46" t="inlineStr"/>
      <c r="D46" t="n">
        <v>9780</v>
      </c>
      <c r="E46" t="n">
        <v>4.988289</v>
      </c>
      <c r="F46" t="n">
        <v>51.2</v>
      </c>
      <c r="G46" t="n">
        <v>32.8</v>
      </c>
      <c r="H46" t="n">
        <v>63.4</v>
      </c>
      <c r="I46" t="n">
        <v>48.1</v>
      </c>
      <c r="J46" t="n">
        <v>10</v>
      </c>
      <c r="K46" t="n">
        <v>25.87944164062723</v>
      </c>
      <c r="L46" t="n">
        <v>15.85835231221255</v>
      </c>
      <c r="M46" t="n">
        <v>0.4369163241635586</v>
      </c>
      <c r="N46" t="n">
        <v>0.8</v>
      </c>
      <c r="O46" t="n">
        <v>14.5</v>
      </c>
      <c r="P46" t="n">
        <v>0</v>
      </c>
      <c r="Q46" t="n">
        <v>0</v>
      </c>
      <c r="R46" t="n">
        <v>0</v>
      </c>
      <c r="S46" t="n">
        <v>3.662766078528408</v>
      </c>
      <c r="T46" t="n">
        <v>6198.647051023159</v>
      </c>
    </row>
    <row r="47">
      <c r="A47" t="inlineStr">
        <is>
          <t>A481850</t>
        </is>
      </c>
      <c r="B47" t="inlineStr">
        <is>
          <t>신한글로벌액티브리츠</t>
        </is>
      </c>
      <c r="C47" t="inlineStr"/>
      <c r="D47" t="n">
        <v>923</v>
      </c>
      <c r="E47" t="n">
        <v>0.59473505</v>
      </c>
      <c r="F47" t="n">
        <v>51.1</v>
      </c>
      <c r="G47" t="n">
        <v>41.1</v>
      </c>
      <c r="H47" t="n">
        <v>49.3</v>
      </c>
      <c r="I47" t="n">
        <v>70.40000000000001</v>
      </c>
      <c r="J47" t="n">
        <v>8.5</v>
      </c>
      <c r="K47" t="n">
        <v>25.03580032309623</v>
      </c>
      <c r="L47" t="n">
        <v>16.57525201328231</v>
      </c>
      <c r="M47" t="n">
        <v>0.6377988491212511</v>
      </c>
      <c r="N47" t="n">
        <v>0.6</v>
      </c>
      <c r="O47" t="n">
        <v>-0.6</v>
      </c>
      <c r="P47" t="n">
        <v>0</v>
      </c>
      <c r="Q47" t="n">
        <v>0</v>
      </c>
      <c r="R47" t="n">
        <v>0</v>
      </c>
      <c r="S47" t="n">
        <v>1.920204717338396</v>
      </c>
      <c r="T47" t="n">
        <v>234.5855023114973</v>
      </c>
    </row>
    <row r="48">
      <c r="A48" t="inlineStr">
        <is>
          <t>A412540</t>
        </is>
      </c>
      <c r="B48" t="inlineStr">
        <is>
          <t>제일엠앤에스</t>
        </is>
      </c>
      <c r="C48" t="inlineStr"/>
      <c r="D48" t="n">
        <v>3935</v>
      </c>
      <c r="E48" t="inlineStr"/>
      <c r="F48" t="n">
        <v>50.8</v>
      </c>
      <c r="G48" t="n">
        <v>52.7</v>
      </c>
      <c r="H48" t="n">
        <v>50</v>
      </c>
      <c r="I48" t="n">
        <v>50</v>
      </c>
      <c r="J48" t="inlineStr"/>
      <c r="K48" t="inlineStr"/>
      <c r="L48" t="inlineStr"/>
      <c r="M48" t="inlineStr"/>
      <c r="N48" t="inlineStr"/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A177900</t>
        </is>
      </c>
      <c r="B49" t="inlineStr">
        <is>
          <t>쓰리에이로직스</t>
        </is>
      </c>
      <c r="C49" t="inlineStr"/>
      <c r="D49" t="n">
        <v>5680</v>
      </c>
      <c r="E49" t="n">
        <v>7.7660368</v>
      </c>
      <c r="F49" t="n">
        <v>50.3</v>
      </c>
      <c r="G49" t="n">
        <v>47.3</v>
      </c>
      <c r="H49" t="n">
        <v>39.6</v>
      </c>
      <c r="I49" t="n">
        <v>81.5</v>
      </c>
      <c r="J49" t="n">
        <v>-11.7</v>
      </c>
      <c r="K49" t="n">
        <v>35.48276619410613</v>
      </c>
      <c r="L49" t="n">
        <v>47.20403817677255</v>
      </c>
      <c r="M49" t="n">
        <v>0.8422950053149366</v>
      </c>
      <c r="N49" t="n">
        <v>-2.2</v>
      </c>
      <c r="O49" t="n">
        <v>-4.8</v>
      </c>
      <c r="P49" t="n">
        <v>0</v>
      </c>
      <c r="Q49" t="n">
        <v>0</v>
      </c>
      <c r="R49" t="n">
        <v>0</v>
      </c>
      <c r="S49" t="n">
        <v>4.60903842696252</v>
      </c>
      <c r="T49" t="n">
        <v>2514.828444499381</v>
      </c>
    </row>
    <row r="50">
      <c r="A50" t="inlineStr">
        <is>
          <t>A437730</t>
        </is>
      </c>
      <c r="B50" t="inlineStr">
        <is>
          <t>삼현</t>
        </is>
      </c>
      <c r="C50" t="inlineStr"/>
      <c r="D50" t="n">
        <v>47900</v>
      </c>
      <c r="E50" t="n">
        <v>96.38869099999999</v>
      </c>
      <c r="F50" t="n">
        <v>50.2</v>
      </c>
      <c r="G50" t="n">
        <v>48.6</v>
      </c>
      <c r="H50" t="n">
        <v>50</v>
      </c>
      <c r="I50" t="n">
        <v>53.3</v>
      </c>
      <c r="J50" t="n">
        <v>8</v>
      </c>
      <c r="K50" t="n">
        <v>40.55901248535718</v>
      </c>
      <c r="L50" t="n">
        <v>32.56033928190639</v>
      </c>
      <c r="M50" t="n">
        <v>0.513488616587477</v>
      </c>
      <c r="N50" t="inlineStr"/>
      <c r="O50" t="inlineStr"/>
      <c r="P50" t="n">
        <v>0</v>
      </c>
      <c r="Q50" t="n">
        <v>0</v>
      </c>
      <c r="R50" t="n">
        <v>0</v>
      </c>
      <c r="S50" t="n">
        <v>5.196630420257275</v>
      </c>
      <c r="T50" t="n">
        <v>13268.57783994716</v>
      </c>
    </row>
    <row r="51">
      <c r="A51" t="inlineStr">
        <is>
          <t>A217590</t>
        </is>
      </c>
      <c r="B51" t="inlineStr">
        <is>
          <t>티엠씨</t>
        </is>
      </c>
      <c r="C51" t="inlineStr"/>
      <c r="D51" t="n">
        <v>19850</v>
      </c>
      <c r="E51" t="n">
        <v>52.032408</v>
      </c>
      <c r="F51" t="n">
        <v>49.8</v>
      </c>
      <c r="G51" t="n">
        <v>46.3</v>
      </c>
      <c r="H51" t="n">
        <v>51.9</v>
      </c>
      <c r="I51" t="n">
        <v>49.6</v>
      </c>
      <c r="J51" t="n">
        <v>-2.4</v>
      </c>
      <c r="K51" t="n">
        <v>35.96283887614226</v>
      </c>
      <c r="L51" t="n">
        <v>38.33351228725197</v>
      </c>
      <c r="M51" t="n">
        <v>0.4606525102177136</v>
      </c>
      <c r="N51" t="n">
        <v>-112.9</v>
      </c>
      <c r="O51" t="n">
        <v>100.1</v>
      </c>
      <c r="P51" t="n">
        <v>0</v>
      </c>
      <c r="Q51" t="n">
        <v>0</v>
      </c>
      <c r="R51" t="n">
        <v>0</v>
      </c>
      <c r="S51" t="n">
        <v>7.618028973666155</v>
      </c>
      <c r="T51" t="n">
        <v>16250.44452833277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39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</cols>
  <sheetData>
    <row r="1">
      <c r="A1" s="20" t="inlineStr">
        <is>
          <t>코드</t>
        </is>
      </c>
      <c r="B1" s="20" t="inlineStr">
        <is>
          <t>코드명</t>
        </is>
      </c>
      <c r="C1" s="20" t="inlineStr">
        <is>
          <t>상장일</t>
        </is>
      </c>
      <c r="D1" s="20" t="inlineStr">
        <is>
          <t>days_since_ipo</t>
        </is>
      </c>
      <c r="E1" s="20" t="inlineStr">
        <is>
          <t>기관_일간</t>
        </is>
      </c>
      <c r="F1" s="20" t="inlineStr">
        <is>
          <t>기관_5일</t>
        </is>
      </c>
      <c r="G1" s="20" t="inlineStr">
        <is>
          <t>기관_20일</t>
        </is>
      </c>
      <c r="H1" s="20" t="inlineStr">
        <is>
          <t>외국인_일간</t>
        </is>
      </c>
      <c r="I1" s="20" t="inlineStr">
        <is>
          <t>외국인_5일</t>
        </is>
      </c>
      <c r="J1" s="20" t="inlineStr">
        <is>
          <t>외국인_20일</t>
        </is>
      </c>
      <c r="K1" s="20" t="inlineStr">
        <is>
          <t>현재가</t>
        </is>
      </c>
      <c r="L1" s="20" t="inlineStr">
        <is>
          <t>거래량</t>
        </is>
      </c>
      <c r="M1" s="20" t="inlineStr">
        <is>
          <t>거래대금(억)</t>
        </is>
      </c>
      <c r="N1" s="20" t="inlineStr">
        <is>
          <t>20일평균거래량</t>
        </is>
      </c>
      <c r="O1" s="20" t="inlineStr">
        <is>
          <t>RVOL(20)</t>
        </is>
      </c>
      <c r="P1" s="20" t="inlineStr">
        <is>
          <t>변동성(30D)</t>
        </is>
      </c>
      <c r="Q1" s="20" t="inlineStr">
        <is>
          <t>RSI(14)</t>
        </is>
      </c>
      <c r="R1" s="20" t="inlineStr">
        <is>
          <t>전일RSI(14)</t>
        </is>
      </c>
      <c r="S1" s="20" t="inlineStr">
        <is>
          <t>RSI변화량</t>
        </is>
      </c>
      <c r="T1" s="20" t="inlineStr">
        <is>
          <t>1일수익률(%)</t>
        </is>
      </c>
      <c r="U1" s="20" t="inlineStr">
        <is>
          <t>20일수익률(%)</t>
        </is>
      </c>
      <c r="V1" s="20" t="inlineStr">
        <is>
          <t>10일이평</t>
        </is>
      </c>
      <c r="W1" s="20" t="inlineStr">
        <is>
          <t>20일이평</t>
        </is>
      </c>
      <c r="X1" s="20" t="inlineStr">
        <is>
          <t>60일이평</t>
        </is>
      </c>
      <c r="Y1" s="20" t="inlineStr">
        <is>
          <t>10일선돌파</t>
        </is>
      </c>
      <c r="Z1" s="20" t="inlineStr">
        <is>
          <t>20일선돌파</t>
        </is>
      </c>
      <c r="AA1" s="20" t="inlineStr">
        <is>
          <t>60일선돌파</t>
        </is>
      </c>
      <c r="AB1" s="20" t="inlineStr">
        <is>
          <t>BB폭</t>
        </is>
      </c>
      <c r="AC1" s="20" t="inlineStr">
        <is>
          <t>모멘텀스코어</t>
        </is>
      </c>
      <c r="AD1" s="20" t="inlineStr">
        <is>
          <t>수급스코어</t>
        </is>
      </c>
      <c r="AE1" s="20" t="inlineStr">
        <is>
          <t>거래량스코어</t>
        </is>
      </c>
      <c r="AF1" s="20" t="inlineStr">
        <is>
          <t>종합스코어</t>
        </is>
      </c>
      <c r="AG1" s="20" t="inlineStr">
        <is>
          <t>등급</t>
        </is>
      </c>
    </row>
    <row r="2">
      <c r="A2" t="inlineStr">
        <is>
          <t>A458350</t>
        </is>
      </c>
      <c r="B2" t="inlineStr">
        <is>
          <t>에스팀</t>
        </is>
      </c>
      <c r="C2" t="inlineStr"/>
      <c r="D2" t="inlineStr"/>
      <c r="E2" t="n">
        <v>0.2</v>
      </c>
      <c r="F2" t="n">
        <v>-3.7</v>
      </c>
      <c r="G2" t="n">
        <v>-7.1</v>
      </c>
      <c r="H2" t="n">
        <v>10.5</v>
      </c>
      <c r="I2" t="n">
        <v>22</v>
      </c>
      <c r="J2" t="n">
        <v>28.1</v>
      </c>
      <c r="K2" t="n">
        <v>5590</v>
      </c>
      <c r="L2" t="n">
        <v>16455</v>
      </c>
      <c r="M2" t="n">
        <v>0.9198345</v>
      </c>
      <c r="N2" t="n">
        <v>66784.85000000001</v>
      </c>
      <c r="O2" t="n">
        <v>0.2463882152913422</v>
      </c>
      <c r="P2" t="n">
        <v>2.540304052891328</v>
      </c>
      <c r="Q2" t="n">
        <v>8.492004311094709</v>
      </c>
      <c r="R2" t="n">
        <v>5.552359358322344</v>
      </c>
      <c r="S2" t="n">
        <v>2.9</v>
      </c>
      <c r="T2" t="n">
        <v>1.084990958408683</v>
      </c>
      <c r="U2" t="n">
        <v>-38.16371681415929</v>
      </c>
      <c r="V2" t="n">
        <v>6232</v>
      </c>
      <c r="W2" t="n">
        <v>7077</v>
      </c>
      <c r="X2" t="n">
        <v>10112.83333333333</v>
      </c>
      <c r="Y2" t="n">
        <v>0</v>
      </c>
      <c r="Z2" t="n">
        <v>0</v>
      </c>
      <c r="AA2" t="n">
        <v>0</v>
      </c>
      <c r="AB2" t="n">
        <v>4211.545034657378</v>
      </c>
      <c r="AC2" t="n">
        <v>24.5</v>
      </c>
      <c r="AD2" t="n">
        <v>60.8</v>
      </c>
      <c r="AE2" t="n">
        <v>16.3</v>
      </c>
      <c r="AF2" t="n">
        <v>41</v>
      </c>
      <c r="AG2" t="inlineStr">
        <is>
          <t>D</t>
        </is>
      </c>
    </row>
    <row r="3">
      <c r="A3" t="inlineStr">
        <is>
          <t>A279570</t>
        </is>
      </c>
      <c r="B3" t="inlineStr">
        <is>
          <t>케이뱅크</t>
        </is>
      </c>
      <c r="C3" t="inlineStr"/>
      <c r="D3" t="inlineStr"/>
      <c r="E3" t="n">
        <v>188.6</v>
      </c>
      <c r="F3" t="n">
        <v>1261.1</v>
      </c>
      <c r="G3" t="n">
        <v>2414.4</v>
      </c>
      <c r="H3" t="n">
        <v>56.5</v>
      </c>
      <c r="I3" t="n">
        <v>-172.6</v>
      </c>
      <c r="J3" t="n">
        <v>-1422.9</v>
      </c>
      <c r="K3" t="n">
        <v>5590</v>
      </c>
      <c r="L3" t="n">
        <v>1150517</v>
      </c>
      <c r="M3" t="n">
        <v>64.3139003</v>
      </c>
      <c r="N3" t="n">
        <v>2219805.1</v>
      </c>
      <c r="O3" t="n">
        <v>0.5182964035896664</v>
      </c>
      <c r="P3" t="n">
        <v>2.2128590930212</v>
      </c>
      <c r="Q3" t="n">
        <v>39.37922669772343</v>
      </c>
      <c r="R3" t="n">
        <v>26.72232781634349</v>
      </c>
      <c r="S3" t="n">
        <v>12.7</v>
      </c>
      <c r="T3" t="n">
        <v>0</v>
      </c>
      <c r="U3" t="n">
        <v>-11.12877583465819</v>
      </c>
      <c r="V3" t="n">
        <v>5569</v>
      </c>
      <c r="W3" t="n">
        <v>5626.5</v>
      </c>
      <c r="X3" t="n">
        <v>6164.166666666667</v>
      </c>
      <c r="Y3" t="n">
        <v>1</v>
      </c>
      <c r="Z3" t="n">
        <v>0</v>
      </c>
      <c r="AA3" t="n">
        <v>0</v>
      </c>
      <c r="AB3" t="n">
        <v>853.7003048648367</v>
      </c>
      <c r="AC3" t="n">
        <v>75.59999999999999</v>
      </c>
      <c r="AD3" t="n">
        <v>67.90000000000001</v>
      </c>
      <c r="AE3" t="n">
        <v>54.8</v>
      </c>
      <c r="AF3" t="n">
        <v>67.59999999999999</v>
      </c>
      <c r="AG3" t="inlineStr">
        <is>
          <t>B</t>
        </is>
      </c>
    </row>
    <row r="4">
      <c r="A4" t="inlineStr">
        <is>
          <t>A490470</t>
        </is>
      </c>
      <c r="B4" t="inlineStr">
        <is>
          <t>세미파이브</t>
        </is>
      </c>
      <c r="C4" t="inlineStr"/>
      <c r="D4" t="inlineStr"/>
      <c r="E4" t="n">
        <v>-4.9</v>
      </c>
      <c r="F4" t="n">
        <v>-301.2</v>
      </c>
      <c r="G4" t="n">
        <v>-1058</v>
      </c>
      <c r="H4" t="n">
        <v>-20.1</v>
      </c>
      <c r="I4" t="n">
        <v>-1802.6</v>
      </c>
      <c r="J4" t="n">
        <v>-1273.4</v>
      </c>
      <c r="K4" t="n">
        <v>38100</v>
      </c>
      <c r="L4" t="n">
        <v>882203</v>
      </c>
      <c r="M4" t="n">
        <v>336.119343</v>
      </c>
      <c r="N4" t="n">
        <v>1236360.45</v>
      </c>
      <c r="O4" t="n">
        <v>0.7135483830787372</v>
      </c>
      <c r="P4" t="n">
        <v>6.883819006083571</v>
      </c>
      <c r="Q4" t="n">
        <v>49.74337963823591</v>
      </c>
      <c r="R4" t="n">
        <v>28.17656502409486</v>
      </c>
      <c r="S4" t="n">
        <v>21.6</v>
      </c>
      <c r="T4" t="n">
        <v>-3.544303797468351</v>
      </c>
      <c r="U4" t="n">
        <v>-21.92622950819672</v>
      </c>
      <c r="V4" t="n">
        <v>38490</v>
      </c>
      <c r="W4" t="n">
        <v>38847.5</v>
      </c>
      <c r="X4" t="n">
        <v>33506.66666666666</v>
      </c>
      <c r="Y4" t="n">
        <v>0</v>
      </c>
      <c r="Z4" t="n">
        <v>0</v>
      </c>
      <c r="AA4" t="n">
        <v>1</v>
      </c>
      <c r="AB4" t="n">
        <v>11641.93418547568</v>
      </c>
      <c r="AC4" t="n">
        <v>40.3</v>
      </c>
      <c r="AD4" t="n">
        <v>12.2</v>
      </c>
      <c r="AE4" t="n">
        <v>74.09999999999999</v>
      </c>
      <c r="AF4" t="n">
        <v>33</v>
      </c>
      <c r="AG4" t="inlineStr">
        <is>
          <t>D</t>
        </is>
      </c>
    </row>
    <row r="5">
      <c r="A5" t="inlineStr">
        <is>
          <t>A491000</t>
        </is>
      </c>
      <c r="B5" t="inlineStr">
        <is>
          <t>리브스메드</t>
        </is>
      </c>
      <c r="C5" t="inlineStr"/>
      <c r="D5" t="inlineStr"/>
      <c r="E5" t="n">
        <v>-124.2</v>
      </c>
      <c r="F5" t="n">
        <v>-797.1</v>
      </c>
      <c r="G5" t="n">
        <v>-1957.8</v>
      </c>
      <c r="H5" t="n">
        <v>130.3</v>
      </c>
      <c r="I5" t="n">
        <v>-2070.8</v>
      </c>
      <c r="J5" t="n">
        <v>2326.7</v>
      </c>
      <c r="K5" t="n">
        <v>49400</v>
      </c>
      <c r="L5" t="n">
        <v>179150</v>
      </c>
      <c r="M5" t="n">
        <v>88.5001</v>
      </c>
      <c r="N5" t="n">
        <v>420450.45</v>
      </c>
      <c r="O5" t="n">
        <v>0.4260906368396086</v>
      </c>
      <c r="P5" t="n">
        <v>6.33253828260372</v>
      </c>
      <c r="Q5" t="n">
        <v>35.12055377384325</v>
      </c>
      <c r="R5" t="n">
        <v>25.14617850348284</v>
      </c>
      <c r="S5" t="n">
        <v>10</v>
      </c>
      <c r="T5" t="n">
        <v>3.023983315954126</v>
      </c>
      <c r="U5" t="n">
        <v>-29.22636103151863</v>
      </c>
      <c r="V5" t="n">
        <v>59575</v>
      </c>
      <c r="W5" t="n">
        <v>61687.5</v>
      </c>
      <c r="X5" t="n">
        <v>67859.16666666667</v>
      </c>
      <c r="Y5" t="n">
        <v>0</v>
      </c>
      <c r="Z5" t="n">
        <v>0</v>
      </c>
      <c r="AA5" t="n">
        <v>0</v>
      </c>
      <c r="AB5" t="n">
        <v>30419.23733429224</v>
      </c>
      <c r="AC5" t="n">
        <v>50.3</v>
      </c>
      <c r="AD5" t="n">
        <v>33.2</v>
      </c>
      <c r="AE5" t="n">
        <v>45.9</v>
      </c>
      <c r="AF5" t="n">
        <v>40.9</v>
      </c>
      <c r="AG5" t="inlineStr">
        <is>
          <t>D</t>
        </is>
      </c>
    </row>
    <row r="6">
      <c r="A6" t="inlineStr">
        <is>
          <t>A476830</t>
        </is>
      </c>
      <c r="B6" t="inlineStr">
        <is>
          <t>알지노믹스</t>
        </is>
      </c>
      <c r="C6" t="inlineStr"/>
      <c r="D6" t="inlineStr"/>
      <c r="E6" t="n">
        <v>-557.6</v>
      </c>
      <c r="F6" t="n">
        <v>-1867.9</v>
      </c>
      <c r="G6" t="n">
        <v>-5921.3</v>
      </c>
      <c r="H6" t="n">
        <v>941</v>
      </c>
      <c r="I6" t="n">
        <v>1190</v>
      </c>
      <c r="J6" t="n">
        <v>8876.5</v>
      </c>
      <c r="K6" t="n">
        <v>110000</v>
      </c>
      <c r="L6" t="n">
        <v>231128</v>
      </c>
      <c r="M6" t="n">
        <v>254.2408</v>
      </c>
      <c r="N6" t="n">
        <v>299938.8</v>
      </c>
      <c r="O6" t="n">
        <v>0.7705838657752848</v>
      </c>
      <c r="P6" t="n">
        <v>4.713369948615691</v>
      </c>
      <c r="Q6" t="n">
        <v>28.10363720759566</v>
      </c>
      <c r="R6" t="n">
        <v>17.72003770124819</v>
      </c>
      <c r="S6" t="n">
        <v>10.4</v>
      </c>
      <c r="T6" t="n">
        <v>-0.8115419296663706</v>
      </c>
      <c r="U6" t="n">
        <v>-36.96275071633238</v>
      </c>
      <c r="V6" t="n">
        <v>128640</v>
      </c>
      <c r="W6" t="n">
        <v>142665</v>
      </c>
      <c r="X6" t="n">
        <v>177491.6666666667</v>
      </c>
      <c r="Y6" t="n">
        <v>0</v>
      </c>
      <c r="Z6" t="n">
        <v>0</v>
      </c>
      <c r="AA6" t="n">
        <v>0</v>
      </c>
      <c r="AB6" t="n">
        <v>77209.57399046747</v>
      </c>
      <c r="AC6" t="n">
        <v>22.8</v>
      </c>
      <c r="AD6" t="n">
        <v>50.5</v>
      </c>
      <c r="AE6" t="n">
        <v>77.8</v>
      </c>
      <c r="AF6" t="n">
        <v>47.7</v>
      </c>
      <c r="AG6" t="inlineStr">
        <is>
          <t>D</t>
        </is>
      </c>
    </row>
    <row r="7">
      <c r="A7" t="inlineStr">
        <is>
          <t>A478340</t>
        </is>
      </c>
      <c r="B7" t="inlineStr">
        <is>
          <t>나라스페이스테크놀로지</t>
        </is>
      </c>
      <c r="C7" t="inlineStr"/>
      <c r="D7" t="inlineStr"/>
      <c r="E7" t="n">
        <v>-8.5</v>
      </c>
      <c r="F7" t="n">
        <v>-9.5</v>
      </c>
      <c r="G7" t="n">
        <v>-183</v>
      </c>
      <c r="H7" t="n">
        <v>137.8</v>
      </c>
      <c r="I7" t="n">
        <v>-29</v>
      </c>
      <c r="J7" t="n">
        <v>75</v>
      </c>
      <c r="K7" t="n">
        <v>23400</v>
      </c>
      <c r="L7" t="n">
        <v>118111</v>
      </c>
      <c r="M7" t="n">
        <v>27.637974</v>
      </c>
      <c r="N7" t="n">
        <v>312140.85</v>
      </c>
      <c r="O7" t="n">
        <v>0.3783900761467139</v>
      </c>
      <c r="P7" t="n">
        <v>5.61651096022293</v>
      </c>
      <c r="Q7" t="n">
        <v>34.49119842269177</v>
      </c>
      <c r="R7" t="n">
        <v>25.96141457119954</v>
      </c>
      <c r="S7" t="n">
        <v>8.5</v>
      </c>
      <c r="T7" t="n">
        <v>5.643340857787815</v>
      </c>
      <c r="U7" t="n">
        <v>-31.47877013177159</v>
      </c>
      <c r="V7" t="n">
        <v>26605</v>
      </c>
      <c r="W7" t="n">
        <v>28842.5</v>
      </c>
      <c r="X7" t="n">
        <v>35685</v>
      </c>
      <c r="Y7" t="n">
        <v>0</v>
      </c>
      <c r="Z7" t="n">
        <v>0</v>
      </c>
      <c r="AA7" t="n">
        <v>0</v>
      </c>
      <c r="AB7" t="n">
        <v>13172.42334736115</v>
      </c>
      <c r="AC7" t="n">
        <v>50.2</v>
      </c>
      <c r="AD7" t="n">
        <v>49.1</v>
      </c>
      <c r="AE7" t="n">
        <v>37</v>
      </c>
      <c r="AF7" t="n">
        <v>47</v>
      </c>
      <c r="AG7" t="inlineStr">
        <is>
          <t>D</t>
        </is>
      </c>
    </row>
    <row r="8">
      <c r="A8" t="inlineStr">
        <is>
          <t>A217590</t>
        </is>
      </c>
      <c r="B8" t="inlineStr">
        <is>
          <t>티엠씨</t>
        </is>
      </c>
      <c r="C8" t="inlineStr"/>
      <c r="D8" t="inlineStr"/>
      <c r="E8" t="n">
        <v>-112.9</v>
      </c>
      <c r="F8" t="n">
        <v>-250.3</v>
      </c>
      <c r="G8" t="n">
        <v>-148.4</v>
      </c>
      <c r="H8" t="n">
        <v>100.1</v>
      </c>
      <c r="I8" t="n">
        <v>215.5</v>
      </c>
      <c r="J8" t="n">
        <v>368</v>
      </c>
      <c r="K8" t="n">
        <v>19850</v>
      </c>
      <c r="L8" t="n">
        <v>262128</v>
      </c>
      <c r="M8" t="n">
        <v>52.032408</v>
      </c>
      <c r="N8" t="n">
        <v>569036.3</v>
      </c>
      <c r="O8" t="n">
        <v>0.4606525102177136</v>
      </c>
      <c r="P8" t="n">
        <v>7.618028973666155</v>
      </c>
      <c r="Q8" t="n">
        <v>35.96283887614226</v>
      </c>
      <c r="R8" t="n">
        <v>38.33351228725197</v>
      </c>
      <c r="S8" t="n">
        <v>-2.4</v>
      </c>
      <c r="T8" t="n">
        <v>4.74934036939314</v>
      </c>
      <c r="U8" t="n">
        <v>-35.86429725363489</v>
      </c>
      <c r="V8" t="n">
        <v>23950</v>
      </c>
      <c r="W8" t="n">
        <v>26417.5</v>
      </c>
      <c r="X8" t="n">
        <v>24650</v>
      </c>
      <c r="Y8" t="n">
        <v>0</v>
      </c>
      <c r="Z8" t="n">
        <v>0</v>
      </c>
      <c r="AA8" t="n">
        <v>0</v>
      </c>
      <c r="AB8" t="n">
        <v>16250.44452833277</v>
      </c>
      <c r="AC8" t="n">
        <v>46.3</v>
      </c>
      <c r="AD8" t="n">
        <v>51.9</v>
      </c>
      <c r="AE8" t="n">
        <v>49.6</v>
      </c>
      <c r="AF8" t="n">
        <v>49.8</v>
      </c>
      <c r="AG8" t="inlineStr">
        <is>
          <t>D</t>
        </is>
      </c>
    </row>
    <row r="9">
      <c r="A9" t="inlineStr">
        <is>
          <t>A464490</t>
        </is>
      </c>
      <c r="B9" t="inlineStr">
        <is>
          <t>쿼드메디슨</t>
        </is>
      </c>
      <c r="C9" t="inlineStr"/>
      <c r="D9" t="inlineStr"/>
      <c r="E9" t="n">
        <v>-1.8</v>
      </c>
      <c r="F9" t="n">
        <v>13.1</v>
      </c>
      <c r="G9" t="n">
        <v>-23.7</v>
      </c>
      <c r="H9" t="n">
        <v>13.5</v>
      </c>
      <c r="I9" t="n">
        <v>58.8</v>
      </c>
      <c r="J9" t="n">
        <v>162.1</v>
      </c>
      <c r="K9" t="n">
        <v>8210</v>
      </c>
      <c r="L9" t="n">
        <v>55389</v>
      </c>
      <c r="M9" t="n">
        <v>4.5474369</v>
      </c>
      <c r="N9" t="n">
        <v>109949.95</v>
      </c>
      <c r="O9" t="n">
        <v>0.5037655769738868</v>
      </c>
      <c r="P9" t="n">
        <v>3.045566520119369</v>
      </c>
      <c r="Q9" t="n">
        <v>17.77205832769167</v>
      </c>
      <c r="R9" t="n">
        <v>6.898291075423206</v>
      </c>
      <c r="S9" t="n">
        <v>10.9</v>
      </c>
      <c r="T9" t="n">
        <v>-2.378121284185497</v>
      </c>
      <c r="U9" t="n">
        <v>-36.74884437596302</v>
      </c>
      <c r="V9" t="n">
        <v>9384</v>
      </c>
      <c r="W9" t="n">
        <v>10377.5</v>
      </c>
      <c r="X9" t="n">
        <v>12845.16666666667</v>
      </c>
      <c r="Y9" t="n">
        <v>0</v>
      </c>
      <c r="Z9" t="n">
        <v>0</v>
      </c>
      <c r="AA9" t="n">
        <v>0</v>
      </c>
      <c r="AB9" t="n">
        <v>4945.290156992043</v>
      </c>
      <c r="AC9" t="n">
        <v>11.1</v>
      </c>
      <c r="AD9" t="n">
        <v>62.8</v>
      </c>
      <c r="AE9" t="n">
        <v>52.6</v>
      </c>
      <c r="AF9" t="n">
        <v>45.2</v>
      </c>
      <c r="AG9" t="inlineStr">
        <is>
          <t>D</t>
        </is>
      </c>
    </row>
    <row r="10">
      <c r="A10" t="inlineStr">
        <is>
          <t>A261520</t>
        </is>
      </c>
      <c r="B10" t="inlineStr">
        <is>
          <t>이지스</t>
        </is>
      </c>
      <c r="C10" t="inlineStr"/>
      <c r="D10" t="inlineStr"/>
      <c r="E10" t="n">
        <v>-0</v>
      </c>
      <c r="F10" t="n">
        <v>-0.1</v>
      </c>
      <c r="G10" t="n">
        <v>-52.9</v>
      </c>
      <c r="H10" t="n">
        <v>9.5</v>
      </c>
      <c r="I10" t="n">
        <v>23.9</v>
      </c>
      <c r="J10" t="n">
        <v>53.9</v>
      </c>
      <c r="K10" t="n">
        <v>4975</v>
      </c>
      <c r="L10" t="n">
        <v>32529</v>
      </c>
      <c r="M10" t="n">
        <v>1.61831775</v>
      </c>
      <c r="N10" t="n">
        <v>73545.89999999999</v>
      </c>
      <c r="O10" t="n">
        <v>0.44229521971993</v>
      </c>
      <c r="P10" t="n">
        <v>3.005547319460749</v>
      </c>
      <c r="Q10" t="n">
        <v>21.73246295873926</v>
      </c>
      <c r="R10" t="n">
        <v>10.42119875590899</v>
      </c>
      <c r="S10" t="n">
        <v>11.3</v>
      </c>
      <c r="T10" t="n">
        <v>1.015228426395942</v>
      </c>
      <c r="U10" t="n">
        <v>-36.21794871794872</v>
      </c>
      <c r="V10" t="n">
        <v>5501</v>
      </c>
      <c r="W10" t="n">
        <v>6121</v>
      </c>
      <c r="X10" t="n">
        <v>7748.333333333333</v>
      </c>
      <c r="Y10" t="n">
        <v>0</v>
      </c>
      <c r="Z10" t="n">
        <v>0</v>
      </c>
      <c r="AA10" t="n">
        <v>0</v>
      </c>
      <c r="AB10" t="n">
        <v>3110.813736832109</v>
      </c>
      <c r="AC10" t="n">
        <v>27</v>
      </c>
      <c r="AD10" t="n">
        <v>58.3</v>
      </c>
      <c r="AE10" t="n">
        <v>48.9</v>
      </c>
      <c r="AF10" t="n">
        <v>47</v>
      </c>
      <c r="AG10" t="inlineStr">
        <is>
          <t>D</t>
        </is>
      </c>
    </row>
    <row r="11">
      <c r="A11" t="inlineStr">
        <is>
          <t>A950250</t>
        </is>
      </c>
      <c r="B11" t="inlineStr">
        <is>
          <t>테라뷰</t>
        </is>
      </c>
      <c r="C11" t="inlineStr"/>
      <c r="D11" t="inlineStr"/>
      <c r="E11" t="n">
        <v>-0.1</v>
      </c>
      <c r="F11" t="n">
        <v>-0.1</v>
      </c>
      <c r="G11" t="n">
        <v>-30.7</v>
      </c>
      <c r="H11" t="n">
        <v>82.7</v>
      </c>
      <c r="I11" t="n">
        <v>-78.90000000000001</v>
      </c>
      <c r="J11" t="n">
        <v>-47.9</v>
      </c>
      <c r="K11" t="n">
        <v>3540</v>
      </c>
      <c r="L11" t="n">
        <v>442471</v>
      </c>
      <c r="M11" t="n">
        <v>15.6634734</v>
      </c>
      <c r="N11" t="n">
        <v>959401.55</v>
      </c>
      <c r="O11" t="n">
        <v>0.4611947937753488</v>
      </c>
      <c r="P11" t="n">
        <v>4.006172059660899</v>
      </c>
      <c r="Q11" t="n">
        <v>21.7185031432754</v>
      </c>
      <c r="R11" t="n">
        <v>9.80485327175311</v>
      </c>
      <c r="S11" t="n">
        <v>11.9</v>
      </c>
      <c r="T11" t="n">
        <v>3.812316715542519</v>
      </c>
      <c r="U11" t="n">
        <v>-46.76691729323309</v>
      </c>
      <c r="V11" t="n">
        <v>4081.5</v>
      </c>
      <c r="W11" t="n">
        <v>4772.5</v>
      </c>
      <c r="X11" t="n">
        <v>6407.666666666667</v>
      </c>
      <c r="Y11" t="n">
        <v>0</v>
      </c>
      <c r="Z11" t="n">
        <v>0</v>
      </c>
      <c r="AA11" t="n">
        <v>0</v>
      </c>
      <c r="AB11" t="n">
        <v>3620.918755175133</v>
      </c>
      <c r="AC11" t="n">
        <v>28</v>
      </c>
      <c r="AD11" t="n">
        <v>49.8</v>
      </c>
      <c r="AE11" t="n">
        <v>50.4</v>
      </c>
      <c r="AF11" t="n">
        <v>43.4</v>
      </c>
      <c r="AG11" t="inlineStr">
        <is>
          <t>D</t>
        </is>
      </c>
    </row>
    <row r="12">
      <c r="A12" t="inlineStr">
        <is>
          <t>A488900</t>
        </is>
      </c>
      <c r="B12" t="inlineStr">
        <is>
          <t>비츠로넥스텍</t>
        </is>
      </c>
      <c r="C12" t="inlineStr"/>
      <c r="D12" t="inlineStr"/>
      <c r="E12" t="n">
        <v>0.1</v>
      </c>
      <c r="F12" t="n">
        <v>-55.2</v>
      </c>
      <c r="G12" t="n">
        <v>-441.8</v>
      </c>
      <c r="H12" t="n">
        <v>39.2</v>
      </c>
      <c r="I12" t="n">
        <v>43.5</v>
      </c>
      <c r="J12" t="n">
        <v>171.2</v>
      </c>
      <c r="K12" t="n">
        <v>11900</v>
      </c>
      <c r="L12" t="n">
        <v>94640</v>
      </c>
      <c r="M12" t="n">
        <v>11.26216</v>
      </c>
      <c r="N12" t="n">
        <v>137889</v>
      </c>
      <c r="O12" t="n">
        <v>0.6863491649080057</v>
      </c>
      <c r="P12" t="n">
        <v>3.862468872196875</v>
      </c>
      <c r="Q12" t="n">
        <v>24.70211314888787</v>
      </c>
      <c r="R12" t="n">
        <v>16.2784174015307</v>
      </c>
      <c r="S12" t="n">
        <v>8.4</v>
      </c>
      <c r="T12" t="n">
        <v>-1.244813278008294</v>
      </c>
      <c r="U12" t="n">
        <v>-38.6913961875322</v>
      </c>
      <c r="V12" t="n">
        <v>14056</v>
      </c>
      <c r="W12" t="n">
        <v>15923.5</v>
      </c>
      <c r="X12" t="n">
        <v>17755</v>
      </c>
      <c r="Y12" t="n">
        <v>0</v>
      </c>
      <c r="Z12" t="n">
        <v>0</v>
      </c>
      <c r="AA12" t="n">
        <v>0</v>
      </c>
      <c r="AB12" t="n">
        <v>9289.226583861322</v>
      </c>
      <c r="AC12" t="n">
        <v>16</v>
      </c>
      <c r="AD12" t="n">
        <v>58.7</v>
      </c>
      <c r="AE12" t="n">
        <v>72.59999999999999</v>
      </c>
      <c r="AF12" t="n">
        <v>48.7</v>
      </c>
      <c r="AG12" t="inlineStr">
        <is>
          <t>D</t>
        </is>
      </c>
    </row>
    <row r="13">
      <c r="A13" t="inlineStr">
        <is>
          <t>A388210</t>
        </is>
      </c>
      <c r="B13" t="inlineStr">
        <is>
          <t>씨엠티엑스</t>
        </is>
      </c>
      <c r="C13" t="inlineStr"/>
      <c r="D13" t="inlineStr"/>
      <c r="E13" t="n">
        <v>-209.4</v>
      </c>
      <c r="F13" t="n">
        <v>-1003.7</v>
      </c>
      <c r="G13" t="n">
        <v>-4665.9</v>
      </c>
      <c r="H13" t="n">
        <v>48.5</v>
      </c>
      <c r="I13" t="n">
        <v>872.8</v>
      </c>
      <c r="J13" t="n">
        <v>1325.7</v>
      </c>
      <c r="K13" t="n">
        <v>106000</v>
      </c>
      <c r="L13" t="n">
        <v>80074</v>
      </c>
      <c r="M13" t="n">
        <v>84.87844</v>
      </c>
      <c r="N13" t="n">
        <v>126245.2</v>
      </c>
      <c r="O13" t="n">
        <v>0.6342736199079252</v>
      </c>
      <c r="P13" t="n">
        <v>4.08659387344413</v>
      </c>
      <c r="Q13" t="n">
        <v>36.3899356383806</v>
      </c>
      <c r="R13" t="n">
        <v>30.74795388373679</v>
      </c>
      <c r="S13" t="n">
        <v>5.6</v>
      </c>
      <c r="T13" t="n">
        <v>-2.033271719038821</v>
      </c>
      <c r="U13" t="n">
        <v>-24.39372325249643</v>
      </c>
      <c r="V13" t="n">
        <v>113270</v>
      </c>
      <c r="W13" t="n">
        <v>120415</v>
      </c>
      <c r="X13" t="n">
        <v>133206.6666666667</v>
      </c>
      <c r="Y13" t="n">
        <v>0</v>
      </c>
      <c r="Z13" t="n">
        <v>0</v>
      </c>
      <c r="AA13" t="n">
        <v>0</v>
      </c>
      <c r="AB13" t="n">
        <v>39935.79584124604</v>
      </c>
      <c r="AC13" t="n">
        <v>37.3</v>
      </c>
      <c r="AD13" t="n">
        <v>46.2</v>
      </c>
      <c r="AE13" t="n">
        <v>69.59999999999999</v>
      </c>
      <c r="AF13" t="n">
        <v>48.2</v>
      </c>
      <c r="AG13" t="inlineStr">
        <is>
          <t>D</t>
        </is>
      </c>
    </row>
    <row r="14">
      <c r="A14" t="inlineStr">
        <is>
          <t>A403850</t>
        </is>
      </c>
      <c r="B14" t="inlineStr">
        <is>
          <t>더핑크퐁컴퍼니</t>
        </is>
      </c>
      <c r="C14" t="inlineStr"/>
      <c r="D14" t="inlineStr"/>
      <c r="E14" t="n">
        <v>-19.4</v>
      </c>
      <c r="F14" t="n">
        <v>-29.4</v>
      </c>
      <c r="G14" t="n">
        <v>-336.5</v>
      </c>
      <c r="H14" t="n">
        <v>13.5</v>
      </c>
      <c r="I14" t="n">
        <v>55.1</v>
      </c>
      <c r="J14" t="n">
        <v>64</v>
      </c>
      <c r="K14" t="n">
        <v>11600</v>
      </c>
      <c r="L14" t="n">
        <v>87724</v>
      </c>
      <c r="M14" t="n">
        <v>10.175984</v>
      </c>
      <c r="N14" t="n">
        <v>71887.8</v>
      </c>
      <c r="O14" t="n">
        <v>1.220290508264267</v>
      </c>
      <c r="P14" t="n">
        <v>3.456253494558745</v>
      </c>
      <c r="Q14" t="n">
        <v>29.20033544963842</v>
      </c>
      <c r="R14" t="n">
        <v>21.2869047370525</v>
      </c>
      <c r="S14" t="n">
        <v>7.9</v>
      </c>
      <c r="T14" t="n">
        <v>-8.37282780410743</v>
      </c>
      <c r="U14" t="n">
        <v>-32.24299065420561</v>
      </c>
      <c r="V14" t="n">
        <v>12541</v>
      </c>
      <c r="W14" t="n">
        <v>13781</v>
      </c>
      <c r="X14" t="n">
        <v>16057.5</v>
      </c>
      <c r="Y14" t="n">
        <v>0</v>
      </c>
      <c r="Z14" t="n">
        <v>0</v>
      </c>
      <c r="AA14" t="n">
        <v>0</v>
      </c>
      <c r="AB14" t="n">
        <v>6180.920047337582</v>
      </c>
      <c r="AC14" t="n">
        <v>17.8</v>
      </c>
      <c r="AD14" t="n">
        <v>46.1</v>
      </c>
      <c r="AE14" t="n">
        <v>94.09999999999999</v>
      </c>
      <c r="AF14" t="n">
        <v>47.2</v>
      </c>
      <c r="AG14" t="inlineStr">
        <is>
          <t>D</t>
        </is>
      </c>
    </row>
    <row r="15">
      <c r="A15" t="inlineStr">
        <is>
          <t>A061090</t>
        </is>
      </c>
      <c r="B15" t="inlineStr">
        <is>
          <t>세나테크놀로지</t>
        </is>
      </c>
      <c r="C15" t="inlineStr"/>
      <c r="D15" t="inlineStr"/>
      <c r="E15" t="n">
        <v>-5.1</v>
      </c>
      <c r="F15" t="n">
        <v>-1.2</v>
      </c>
      <c r="G15" t="n">
        <v>116.5</v>
      </c>
      <c r="H15" t="n">
        <v>-49.7</v>
      </c>
      <c r="I15" t="n">
        <v>-55.7</v>
      </c>
      <c r="J15" t="n">
        <v>-173.5</v>
      </c>
      <c r="K15" t="n">
        <v>49800</v>
      </c>
      <c r="L15" t="n">
        <v>189628</v>
      </c>
      <c r="M15" t="n">
        <v>94.43474399999999</v>
      </c>
      <c r="N15" t="n">
        <v>103121</v>
      </c>
      <c r="O15" t="n">
        <v>1.83888829627331</v>
      </c>
      <c r="P15" t="n">
        <v>7.991728775716518</v>
      </c>
      <c r="Q15" t="n">
        <v>57.99937129841109</v>
      </c>
      <c r="R15" t="n">
        <v>50.45255569060734</v>
      </c>
      <c r="S15" t="n">
        <v>7.5</v>
      </c>
      <c r="T15" t="n">
        <v>-1.968503937007871</v>
      </c>
      <c r="U15" t="n">
        <v>17.45283018867924</v>
      </c>
      <c r="V15" t="n">
        <v>45480</v>
      </c>
      <c r="W15" t="n">
        <v>45827.5</v>
      </c>
      <c r="X15" t="n">
        <v>41210</v>
      </c>
      <c r="Y15" t="n">
        <v>1</v>
      </c>
      <c r="Z15" t="n">
        <v>1</v>
      </c>
      <c r="AA15" t="n">
        <v>1</v>
      </c>
      <c r="AB15" t="n">
        <v>16908.97924025482</v>
      </c>
      <c r="AC15" t="n">
        <v>75.59999999999999</v>
      </c>
      <c r="AD15" t="n">
        <v>32.7</v>
      </c>
      <c r="AE15" t="n">
        <v>95.59999999999999</v>
      </c>
      <c r="AF15" t="n">
        <v>58.2</v>
      </c>
      <c r="AG15" t="inlineStr">
        <is>
          <t>C</t>
        </is>
      </c>
    </row>
    <row r="16">
      <c r="A16" t="inlineStr">
        <is>
          <t>A494120</t>
        </is>
      </c>
      <c r="B16" t="inlineStr">
        <is>
          <t>큐리오시스</t>
        </is>
      </c>
      <c r="C16" t="inlineStr"/>
      <c r="D16" t="inlineStr"/>
      <c r="E16" t="n">
        <v>-30.6</v>
      </c>
      <c r="F16" t="n">
        <v>-207.1</v>
      </c>
      <c r="G16" t="n">
        <v>-1338.2</v>
      </c>
      <c r="H16" t="n">
        <v>78.59999999999999</v>
      </c>
      <c r="I16" t="n">
        <v>628</v>
      </c>
      <c r="J16" t="n">
        <v>571.8</v>
      </c>
      <c r="K16" t="n">
        <v>30300</v>
      </c>
      <c r="L16" t="n">
        <v>50453</v>
      </c>
      <c r="M16" t="n">
        <v>15.287259</v>
      </c>
      <c r="N16" t="n">
        <v>119294.6</v>
      </c>
      <c r="O16" t="n">
        <v>0.4229277771164831</v>
      </c>
      <c r="P16" t="n">
        <v>5.579644201798064</v>
      </c>
      <c r="Q16" t="n">
        <v>25.0164468819126</v>
      </c>
      <c r="R16" t="n">
        <v>16.70429113874909</v>
      </c>
      <c r="S16" t="n">
        <v>8.300000000000001</v>
      </c>
      <c r="T16" t="n">
        <v>1.168614357262099</v>
      </c>
      <c r="U16" t="n">
        <v>-39.52095808383233</v>
      </c>
      <c r="V16" t="n">
        <v>36705</v>
      </c>
      <c r="W16" t="n">
        <v>43062.5</v>
      </c>
      <c r="X16" t="n">
        <v>54407.5</v>
      </c>
      <c r="Y16" t="n">
        <v>0</v>
      </c>
      <c r="Z16" t="n">
        <v>0</v>
      </c>
      <c r="AA16" t="n">
        <v>0</v>
      </c>
      <c r="AB16" t="n">
        <v>32264.42557825471</v>
      </c>
      <c r="AC16" t="n">
        <v>26.6</v>
      </c>
      <c r="AD16" t="n">
        <v>51.5</v>
      </c>
      <c r="AE16" t="n">
        <v>45.2</v>
      </c>
      <c r="AF16" t="n">
        <v>42.8</v>
      </c>
      <c r="AG16" t="inlineStr">
        <is>
          <t>D</t>
        </is>
      </c>
    </row>
    <row r="17">
      <c r="A17" t="inlineStr">
        <is>
          <t>A469610</t>
        </is>
      </c>
      <c r="B17" t="inlineStr">
        <is>
          <t>이노테크</t>
        </is>
      </c>
      <c r="C17" t="inlineStr"/>
      <c r="D17" t="inlineStr"/>
      <c r="E17" t="n">
        <v>-1.3</v>
      </c>
      <c r="F17" t="n">
        <v>-13.5</v>
      </c>
      <c r="G17" t="n">
        <v>-701.2</v>
      </c>
      <c r="H17" t="n">
        <v>0.7</v>
      </c>
      <c r="I17" t="n">
        <v>-126.8</v>
      </c>
      <c r="J17" t="n">
        <v>-69.5</v>
      </c>
      <c r="K17" t="n">
        <v>16250</v>
      </c>
      <c r="L17" t="n">
        <v>47291</v>
      </c>
      <c r="M17" t="n">
        <v>7.6847875</v>
      </c>
      <c r="N17" t="n">
        <v>153247.2</v>
      </c>
      <c r="O17" t="n">
        <v>0.3085929139325221</v>
      </c>
      <c r="P17" t="n">
        <v>7.167906264854755</v>
      </c>
      <c r="Q17" t="n">
        <v>35.08071533938212</v>
      </c>
      <c r="R17" t="n">
        <v>28.46671240788722</v>
      </c>
      <c r="S17" t="n">
        <v>6.6</v>
      </c>
      <c r="T17" t="n">
        <v>-1.990349819059112</v>
      </c>
      <c r="U17" t="n">
        <v>-33.40163934426229</v>
      </c>
      <c r="V17" t="n">
        <v>18689</v>
      </c>
      <c r="W17" t="n">
        <v>19851</v>
      </c>
      <c r="X17" t="n">
        <v>21199.5</v>
      </c>
      <c r="Y17" t="n">
        <v>0</v>
      </c>
      <c r="Z17" t="n">
        <v>0</v>
      </c>
      <c r="AA17" t="n">
        <v>0</v>
      </c>
      <c r="AB17" t="n">
        <v>8850.942501106574</v>
      </c>
      <c r="AC17" t="n">
        <v>27.5</v>
      </c>
      <c r="AD17" t="n">
        <v>28.1</v>
      </c>
      <c r="AE17" t="n">
        <v>24.4</v>
      </c>
      <c r="AF17" t="n">
        <v>27.2</v>
      </c>
      <c r="AG17" t="inlineStr">
        <is>
          <t>F</t>
        </is>
      </c>
    </row>
    <row r="18">
      <c r="A18" t="inlineStr">
        <is>
          <t>A486990</t>
        </is>
      </c>
      <c r="B18" t="inlineStr">
        <is>
          <t>노타</t>
        </is>
      </c>
      <c r="C18" t="inlineStr"/>
      <c r="D18" t="inlineStr"/>
      <c r="E18" t="n">
        <v>-143.8</v>
      </c>
      <c r="F18" t="n">
        <v>-274.1</v>
      </c>
      <c r="G18" t="n">
        <v>-636.1</v>
      </c>
      <c r="H18" t="n">
        <v>-73.7</v>
      </c>
      <c r="I18" t="n">
        <v>-124</v>
      </c>
      <c r="J18" t="n">
        <v>-67.59999999999999</v>
      </c>
      <c r="K18" t="n">
        <v>39100</v>
      </c>
      <c r="L18" t="n">
        <v>1459689</v>
      </c>
      <c r="M18" t="n">
        <v>570.738399</v>
      </c>
      <c r="N18" t="n">
        <v>649706.75</v>
      </c>
      <c r="O18" t="n">
        <v>2.246688986992978</v>
      </c>
      <c r="P18" t="n">
        <v>7.486459254269123</v>
      </c>
      <c r="Q18" t="n">
        <v>60.28105858483153</v>
      </c>
      <c r="R18" t="n">
        <v>48.41635840371533</v>
      </c>
      <c r="S18" t="n">
        <v>11.9</v>
      </c>
      <c r="T18" t="n">
        <v>12.03438395415473</v>
      </c>
      <c r="U18" t="n">
        <v>12.68011527377522</v>
      </c>
      <c r="V18" t="n">
        <v>32435</v>
      </c>
      <c r="W18" t="n">
        <v>32057.5</v>
      </c>
      <c r="X18" t="n">
        <v>35302.5</v>
      </c>
      <c r="Y18" t="n">
        <v>1</v>
      </c>
      <c r="Z18" t="n">
        <v>1</v>
      </c>
      <c r="AA18" t="n">
        <v>1</v>
      </c>
      <c r="AB18" t="n">
        <v>15441.88085080721</v>
      </c>
      <c r="AC18" t="n">
        <v>98</v>
      </c>
      <c r="AD18" t="n">
        <v>11.2</v>
      </c>
      <c r="AE18" t="n">
        <v>97.8</v>
      </c>
      <c r="AF18" t="n">
        <v>54.6</v>
      </c>
      <c r="AG18" t="inlineStr">
        <is>
          <t>C</t>
        </is>
      </c>
    </row>
    <row r="19">
      <c r="A19" t="inlineStr">
        <is>
          <t>A317450</t>
        </is>
      </c>
      <c r="B19" t="inlineStr">
        <is>
          <t>명인제약</t>
        </is>
      </c>
      <c r="C19" t="inlineStr"/>
      <c r="D19" t="inlineStr"/>
      <c r="E19" t="n">
        <v>-4.5</v>
      </c>
      <c r="F19" t="n">
        <v>-44.8</v>
      </c>
      <c r="G19" t="n">
        <v>-328.5</v>
      </c>
      <c r="H19" t="n">
        <v>44.4</v>
      </c>
      <c r="I19" t="n">
        <v>-11.9</v>
      </c>
      <c r="J19" t="n">
        <v>-100.9</v>
      </c>
      <c r="K19" t="n">
        <v>44600</v>
      </c>
      <c r="L19" t="n">
        <v>18823</v>
      </c>
      <c r="M19" t="n">
        <v>8.395058000000001</v>
      </c>
      <c r="N19" t="n">
        <v>24542.65</v>
      </c>
      <c r="O19" t="n">
        <v>0.7669505941697412</v>
      </c>
      <c r="P19" t="n">
        <v>1.740009522310716</v>
      </c>
      <c r="Q19" t="n">
        <v>23.65389820251364</v>
      </c>
      <c r="R19" t="n">
        <v>14.39221284186871</v>
      </c>
      <c r="S19" t="n">
        <v>9.300000000000001</v>
      </c>
      <c r="T19" t="n">
        <v>-1.870187018701874</v>
      </c>
      <c r="U19" t="n">
        <v>-20.35714285714286</v>
      </c>
      <c r="V19" t="n">
        <v>47875</v>
      </c>
      <c r="W19" t="n">
        <v>50102.5</v>
      </c>
      <c r="X19" t="n">
        <v>54657.5</v>
      </c>
      <c r="Y19" t="n">
        <v>0</v>
      </c>
      <c r="Z19" t="n">
        <v>0</v>
      </c>
      <c r="AA19" t="n">
        <v>0</v>
      </c>
      <c r="AB19" t="n">
        <v>11544.60001358585</v>
      </c>
      <c r="AC19" t="n">
        <v>30.2</v>
      </c>
      <c r="AD19" t="n">
        <v>39.3</v>
      </c>
      <c r="AE19" t="n">
        <v>77</v>
      </c>
      <c r="AF19" t="n">
        <v>44.1</v>
      </c>
      <c r="AG19" t="inlineStr">
        <is>
          <t>D</t>
        </is>
      </c>
    </row>
    <row r="20">
      <c r="A20" t="inlineStr">
        <is>
          <t>A488280</t>
        </is>
      </c>
      <c r="B20" t="inlineStr">
        <is>
          <t>에스투더블유</t>
        </is>
      </c>
      <c r="C20" t="inlineStr"/>
      <c r="D20" t="inlineStr"/>
      <c r="E20" t="n">
        <v>6.6</v>
      </c>
      <c r="F20" t="n">
        <v>-50.8</v>
      </c>
      <c r="G20" t="n">
        <v>-499.7</v>
      </c>
      <c r="H20" t="n">
        <v>17</v>
      </c>
      <c r="I20" t="n">
        <v>-66.5</v>
      </c>
      <c r="J20" t="n">
        <v>75.3</v>
      </c>
      <c r="K20" t="n">
        <v>17230</v>
      </c>
      <c r="L20" t="n">
        <v>146344</v>
      </c>
      <c r="M20" t="n">
        <v>25.2150712</v>
      </c>
      <c r="N20" t="n">
        <v>402831.85</v>
      </c>
      <c r="O20" t="n">
        <v>0.3632880567909414</v>
      </c>
      <c r="P20" t="n">
        <v>9.344435965973496</v>
      </c>
      <c r="Q20" t="n">
        <v>38.07140858175748</v>
      </c>
      <c r="R20" t="n">
        <v>43.9171278783928</v>
      </c>
      <c r="S20" t="n">
        <v>-5.8</v>
      </c>
      <c r="T20" t="n">
        <v>-2.984234234234229</v>
      </c>
      <c r="U20" t="n">
        <v>-34.36190476190476</v>
      </c>
      <c r="V20" t="n">
        <v>22027</v>
      </c>
      <c r="W20" t="n">
        <v>24501</v>
      </c>
      <c r="X20" t="n">
        <v>19821.83333333333</v>
      </c>
      <c r="Y20" t="n">
        <v>0</v>
      </c>
      <c r="Z20" t="n">
        <v>0</v>
      </c>
      <c r="AA20" t="n">
        <v>0</v>
      </c>
      <c r="AB20" t="n">
        <v>14894.19187398052</v>
      </c>
      <c r="AC20" t="n">
        <v>26.5</v>
      </c>
      <c r="AD20" t="n">
        <v>48.9</v>
      </c>
      <c r="AE20" t="n">
        <v>36.3</v>
      </c>
      <c r="AF20" t="n">
        <v>39.7</v>
      </c>
      <c r="AG20" t="inlineStr">
        <is>
          <t>D</t>
        </is>
      </c>
    </row>
    <row r="21">
      <c r="A21" t="inlineStr">
        <is>
          <t>A318060</t>
        </is>
      </c>
      <c r="B21" t="inlineStr">
        <is>
          <t>그래피</t>
        </is>
      </c>
      <c r="C21" t="inlineStr"/>
      <c r="D21" t="inlineStr"/>
      <c r="E21" t="n">
        <v>-61.6</v>
      </c>
      <c r="F21" t="n">
        <v>-53.2</v>
      </c>
      <c r="G21" t="n">
        <v>-396.3</v>
      </c>
      <c r="H21" t="n">
        <v>31.8</v>
      </c>
      <c r="I21" t="n">
        <v>388.3</v>
      </c>
      <c r="J21" t="n">
        <v>994.5</v>
      </c>
      <c r="K21" t="n">
        <v>23700</v>
      </c>
      <c r="L21" t="n">
        <v>189579</v>
      </c>
      <c r="M21" t="n">
        <v>44.930223</v>
      </c>
      <c r="N21" t="n">
        <v>195821.8</v>
      </c>
      <c r="O21" t="n">
        <v>0.9681199948116094</v>
      </c>
      <c r="P21" t="n">
        <v>4.678906428402748</v>
      </c>
      <c r="Q21" t="n">
        <v>31.2981427638977</v>
      </c>
      <c r="R21" t="n">
        <v>16.86598820899504</v>
      </c>
      <c r="S21" t="n">
        <v>14.4</v>
      </c>
      <c r="T21" t="n">
        <v>5.567928730512239</v>
      </c>
      <c r="U21" t="n">
        <v>-26.51162790697674</v>
      </c>
      <c r="V21" t="n">
        <v>24680</v>
      </c>
      <c r="W21" t="n">
        <v>26735</v>
      </c>
      <c r="X21" t="n">
        <v>36441.66666666666</v>
      </c>
      <c r="Y21" t="n">
        <v>0</v>
      </c>
      <c r="Z21" t="n">
        <v>0</v>
      </c>
      <c r="AA21" t="n">
        <v>0</v>
      </c>
      <c r="AB21" t="n">
        <v>10778.5557083447</v>
      </c>
      <c r="AC21" t="n">
        <v>51.8</v>
      </c>
      <c r="AD21" t="n">
        <v>51.6</v>
      </c>
      <c r="AE21" t="n">
        <v>87.40000000000001</v>
      </c>
      <c r="AF21" t="n">
        <v>58.8</v>
      </c>
      <c r="AG21" t="inlineStr">
        <is>
          <t>C</t>
        </is>
      </c>
    </row>
    <row r="22">
      <c r="A22" t="inlineStr">
        <is>
          <t>A125490</t>
        </is>
      </c>
      <c r="B22" t="inlineStr">
        <is>
          <t>한라캐스트</t>
        </is>
      </c>
      <c r="C22" t="inlineStr"/>
      <c r="D22" t="inlineStr"/>
      <c r="E22" t="n">
        <v>-14</v>
      </c>
      <c r="F22" t="n">
        <v>-58.1</v>
      </c>
      <c r="G22" t="n">
        <v>-966.2</v>
      </c>
      <c r="H22" t="n">
        <v>10.2</v>
      </c>
      <c r="I22" t="n">
        <v>247.9</v>
      </c>
      <c r="J22" t="n">
        <v>263.2</v>
      </c>
      <c r="K22" t="n">
        <v>12900</v>
      </c>
      <c r="L22" t="n">
        <v>803868</v>
      </c>
      <c r="M22" t="n">
        <v>103.698972</v>
      </c>
      <c r="N22" t="n">
        <v>2258447.3</v>
      </c>
      <c r="O22" t="n">
        <v>0.3559383475540917</v>
      </c>
      <c r="P22" t="n">
        <v>5.589069037812688</v>
      </c>
      <c r="Q22" t="n">
        <v>35.54452513652351</v>
      </c>
      <c r="R22" t="n">
        <v>29.03315850934786</v>
      </c>
      <c r="S22" t="n">
        <v>6.5</v>
      </c>
      <c r="T22" t="n">
        <v>-0.9216589861751112</v>
      </c>
      <c r="U22" t="n">
        <v>-24.51726155646577</v>
      </c>
      <c r="V22" t="n">
        <v>14654</v>
      </c>
      <c r="W22" t="n">
        <v>15645.5</v>
      </c>
      <c r="X22" t="n">
        <v>15442</v>
      </c>
      <c r="Y22" t="n">
        <v>0</v>
      </c>
      <c r="Z22" t="n">
        <v>0</v>
      </c>
      <c r="AA22" t="n">
        <v>0</v>
      </c>
      <c r="AB22" t="n">
        <v>6631.96057381462</v>
      </c>
      <c r="AC22" t="n">
        <v>41.3</v>
      </c>
      <c r="AD22" t="n">
        <v>45.4</v>
      </c>
      <c r="AE22" t="n">
        <v>34.1</v>
      </c>
      <c r="AF22" t="n">
        <v>41.9</v>
      </c>
      <c r="AG22" t="inlineStr">
        <is>
          <t>D</t>
        </is>
      </c>
    </row>
    <row r="23">
      <c r="A23" t="inlineStr">
        <is>
          <t>A484590</t>
        </is>
      </c>
      <c r="B23" t="inlineStr">
        <is>
          <t>삼양컴텍</t>
        </is>
      </c>
      <c r="C23" t="inlineStr"/>
      <c r="D23" t="inlineStr"/>
      <c r="E23" t="n">
        <v>-68.09999999999999</v>
      </c>
      <c r="F23" t="n">
        <v>-135.2</v>
      </c>
      <c r="G23" t="n">
        <v>-237.9</v>
      </c>
      <c r="H23" t="n">
        <v>97</v>
      </c>
      <c r="I23" t="n">
        <v>105.1</v>
      </c>
      <c r="J23" t="n">
        <v>-164.3</v>
      </c>
      <c r="K23" t="n">
        <v>7910</v>
      </c>
      <c r="L23" t="n">
        <v>109946</v>
      </c>
      <c r="M23" t="n">
        <v>8.6967286</v>
      </c>
      <c r="N23" t="n">
        <v>194110.6</v>
      </c>
      <c r="O23" t="n">
        <v>0.5664090472132898</v>
      </c>
      <c r="P23" t="n">
        <v>4.244511757336517</v>
      </c>
      <c r="Q23" t="n">
        <v>23.56432837450589</v>
      </c>
      <c r="R23" t="n">
        <v>12.04400833356304</v>
      </c>
      <c r="S23" t="n">
        <v>11.5</v>
      </c>
      <c r="T23" t="n">
        <v>1.280409731113963</v>
      </c>
      <c r="U23" t="n">
        <v>-38.82443928847641</v>
      </c>
      <c r="V23" t="n">
        <v>9006</v>
      </c>
      <c r="W23" t="n">
        <v>10070.5</v>
      </c>
      <c r="X23" t="n">
        <v>11756.33333333333</v>
      </c>
      <c r="Y23" t="n">
        <v>0</v>
      </c>
      <c r="Z23" t="n">
        <v>0</v>
      </c>
      <c r="AA23" t="n">
        <v>0</v>
      </c>
      <c r="AB23" t="n">
        <v>5472.372332669664</v>
      </c>
      <c r="AC23" t="n">
        <v>26.6</v>
      </c>
      <c r="AD23" t="n">
        <v>42.6</v>
      </c>
      <c r="AE23" t="n">
        <v>60.7</v>
      </c>
      <c r="AF23" t="n">
        <v>41.4</v>
      </c>
      <c r="AG23" t="inlineStr">
        <is>
          <t>D</t>
        </is>
      </c>
    </row>
    <row r="24">
      <c r="A24" t="inlineStr">
        <is>
          <t>A456160</t>
        </is>
      </c>
      <c r="B24" t="inlineStr">
        <is>
          <t>지투지바이오</t>
        </is>
      </c>
      <c r="C24" t="inlineStr"/>
      <c r="D24" t="inlineStr"/>
      <c r="E24" t="n">
        <v>39.8</v>
      </c>
      <c r="F24" t="n">
        <v>-651.8</v>
      </c>
      <c r="G24" t="n">
        <v>-558.2</v>
      </c>
      <c r="H24" t="n">
        <v>178.8</v>
      </c>
      <c r="I24" t="n">
        <v>-196</v>
      </c>
      <c r="J24" t="n">
        <v>690.5</v>
      </c>
      <c r="K24" t="n">
        <v>53500</v>
      </c>
      <c r="L24" t="n">
        <v>184821</v>
      </c>
      <c r="M24" t="n">
        <v>98.87923499999999</v>
      </c>
      <c r="N24" t="n">
        <v>287970.95</v>
      </c>
      <c r="O24" t="n">
        <v>0.6418043208872284</v>
      </c>
      <c r="P24" t="n">
        <v>4.826872010598523</v>
      </c>
      <c r="Q24" t="n">
        <v>29.52438262368824</v>
      </c>
      <c r="R24" t="n">
        <v>12.06475727174111</v>
      </c>
      <c r="S24" t="n">
        <v>17.5</v>
      </c>
      <c r="T24" t="n">
        <v>-0.3724394785847296</v>
      </c>
      <c r="U24" t="n">
        <v>-37.20657276995305</v>
      </c>
      <c r="V24" t="n">
        <v>59040</v>
      </c>
      <c r="W24" t="n">
        <v>65005</v>
      </c>
      <c r="X24" t="n">
        <v>75601.66666666667</v>
      </c>
      <c r="Y24" t="n">
        <v>0</v>
      </c>
      <c r="Z24" t="n">
        <v>0</v>
      </c>
      <c r="AA24" t="n">
        <v>0</v>
      </c>
      <c r="AB24" t="n">
        <v>31889.40757978227</v>
      </c>
      <c r="AC24" t="n">
        <v>24.5</v>
      </c>
      <c r="AD24" t="n">
        <v>53.7</v>
      </c>
      <c r="AE24" t="n">
        <v>71.09999999999999</v>
      </c>
      <c r="AF24" t="n">
        <v>48.4</v>
      </c>
      <c r="AG24" t="inlineStr">
        <is>
          <t>D</t>
        </is>
      </c>
    </row>
    <row r="25">
      <c r="A25" t="inlineStr">
        <is>
          <t>A309710</t>
        </is>
      </c>
      <c r="B25" t="inlineStr">
        <is>
          <t>아이티켐</t>
        </is>
      </c>
      <c r="C25" t="inlineStr"/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21000</v>
      </c>
      <c r="L25" t="n">
        <v>0</v>
      </c>
      <c r="M25" t="inlineStr"/>
      <c r="N25" t="n">
        <v>0</v>
      </c>
      <c r="O25" t="inlineStr"/>
      <c r="P25" t="n">
        <v>0</v>
      </c>
      <c r="Q25" t="n">
        <v>48.75195620128412</v>
      </c>
      <c r="R25" t="inlineStr"/>
      <c r="S25" t="inlineStr"/>
      <c r="T25" t="n">
        <v>0</v>
      </c>
      <c r="U25" t="n">
        <v>0</v>
      </c>
      <c r="V25" t="n">
        <v>21000</v>
      </c>
      <c r="W25" t="n">
        <v>21000</v>
      </c>
      <c r="X25" t="n">
        <v>24323.33333333333</v>
      </c>
      <c r="Y25" t="n">
        <v>0</v>
      </c>
      <c r="Z25" t="n">
        <v>0</v>
      </c>
      <c r="AA25" t="n">
        <v>0</v>
      </c>
      <c r="AB25" t="n">
        <v>0</v>
      </c>
      <c r="AC25" t="n">
        <v>60.8</v>
      </c>
      <c r="AD25" t="n">
        <v>54.4</v>
      </c>
      <c r="AE25" t="n">
        <v>50</v>
      </c>
      <c r="AF25" t="n">
        <v>55.4</v>
      </c>
      <c r="AG25" t="inlineStr">
        <is>
          <t>C</t>
        </is>
      </c>
    </row>
    <row r="26">
      <c r="A26" t="inlineStr">
        <is>
          <t>A439260</t>
        </is>
      </c>
      <c r="B26" t="inlineStr">
        <is>
          <t>대한조선</t>
        </is>
      </c>
      <c r="C26" t="inlineStr"/>
      <c r="D26" t="inlineStr"/>
      <c r="E26" t="n">
        <v>16.5</v>
      </c>
      <c r="F26" t="n">
        <v>-310.3</v>
      </c>
      <c r="G26" t="n">
        <v>-1463.7</v>
      </c>
      <c r="H26" t="n">
        <v>-14.9</v>
      </c>
      <c r="I26" t="n">
        <v>48.3</v>
      </c>
      <c r="J26" t="n">
        <v>-976.1</v>
      </c>
      <c r="K26" t="n">
        <v>62000</v>
      </c>
      <c r="L26" t="n">
        <v>70412</v>
      </c>
      <c r="M26" t="n">
        <v>43.65544</v>
      </c>
      <c r="N26" t="n">
        <v>123542.2</v>
      </c>
      <c r="O26" t="n">
        <v>0.5699429021014681</v>
      </c>
      <c r="P26" t="n">
        <v>2.574563704214882</v>
      </c>
      <c r="Q26" t="n">
        <v>25.93048118843488</v>
      </c>
      <c r="R26" t="n">
        <v>10.00953005905568</v>
      </c>
      <c r="S26" t="n">
        <v>15.9</v>
      </c>
      <c r="T26" t="n">
        <v>0.9771986970684043</v>
      </c>
      <c r="U26" t="n">
        <v>-30.72625698324022</v>
      </c>
      <c r="V26" t="n">
        <v>65400</v>
      </c>
      <c r="W26" t="n">
        <v>70845</v>
      </c>
      <c r="X26" t="n">
        <v>84750</v>
      </c>
      <c r="Y26" t="n">
        <v>0</v>
      </c>
      <c r="Z26" t="n">
        <v>0</v>
      </c>
      <c r="AA26" t="n">
        <v>0</v>
      </c>
      <c r="AB26" t="n">
        <v>31012.52039181325</v>
      </c>
      <c r="AC26" t="n">
        <v>36.6</v>
      </c>
      <c r="AD26" t="n">
        <v>36.5</v>
      </c>
      <c r="AE26" t="n">
        <v>61.5</v>
      </c>
      <c r="AF26" t="n">
        <v>41.5</v>
      </c>
      <c r="AG26" t="inlineStr">
        <is>
          <t>D</t>
        </is>
      </c>
    </row>
    <row r="27">
      <c r="A27" t="inlineStr">
        <is>
          <t>A468530</t>
        </is>
      </c>
      <c r="B27" t="inlineStr">
        <is>
          <t>프로티나</t>
        </is>
      </c>
      <c r="C27" t="inlineStr"/>
      <c r="D27" t="inlineStr"/>
      <c r="E27" t="n">
        <v>-90</v>
      </c>
      <c r="F27" t="n">
        <v>-398</v>
      </c>
      <c r="G27" t="n">
        <v>-633.8</v>
      </c>
      <c r="H27" t="n">
        <v>151.2</v>
      </c>
      <c r="I27" t="n">
        <v>578.8</v>
      </c>
      <c r="J27" t="n">
        <v>1346.9</v>
      </c>
      <c r="K27" t="n">
        <v>37500</v>
      </c>
      <c r="L27" t="n">
        <v>56676</v>
      </c>
      <c r="M27" t="n">
        <v>21.2535</v>
      </c>
      <c r="N27" t="n">
        <v>82144.5</v>
      </c>
      <c r="O27" t="n">
        <v>0.6899548965542428</v>
      </c>
      <c r="P27" t="n">
        <v>4.212455363978465</v>
      </c>
      <c r="Q27" t="n">
        <v>26.4240755187279</v>
      </c>
      <c r="R27" t="n">
        <v>15.52149517029838</v>
      </c>
      <c r="S27" t="n">
        <v>10.9</v>
      </c>
      <c r="T27" t="n">
        <v>4.022191400832176</v>
      </c>
      <c r="U27" t="n">
        <v>-32.06521739130434</v>
      </c>
      <c r="V27" t="n">
        <v>41515</v>
      </c>
      <c r="W27" t="n">
        <v>45720</v>
      </c>
      <c r="X27" t="n">
        <v>60701.66666666666</v>
      </c>
      <c r="Y27" t="n">
        <v>0</v>
      </c>
      <c r="Z27" t="n">
        <v>0</v>
      </c>
      <c r="AA27" t="n">
        <v>0</v>
      </c>
      <c r="AB27" t="n">
        <v>21901.2520670683</v>
      </c>
      <c r="AC27" t="n">
        <v>42</v>
      </c>
      <c r="AD27" t="n">
        <v>52</v>
      </c>
      <c r="AE27" t="n">
        <v>73.3</v>
      </c>
      <c r="AF27" t="n">
        <v>53.3</v>
      </c>
      <c r="AG27" t="inlineStr">
        <is>
          <t>C</t>
        </is>
      </c>
    </row>
    <row r="28">
      <c r="A28" t="inlineStr">
        <is>
          <t>A475230</t>
        </is>
      </c>
      <c r="B28" t="inlineStr">
        <is>
          <t>엔알비</t>
        </is>
      </c>
      <c r="C28" t="inlineStr"/>
      <c r="D28" t="inlineStr"/>
      <c r="E28" t="n">
        <v>17.7</v>
      </c>
      <c r="F28" t="n">
        <v>55.6</v>
      </c>
      <c r="G28" t="n">
        <v>40.4</v>
      </c>
      <c r="H28" t="n">
        <v>23.1</v>
      </c>
      <c r="I28" t="n">
        <v>53.9</v>
      </c>
      <c r="J28" t="n">
        <v>426.1</v>
      </c>
      <c r="K28" t="n">
        <v>11870</v>
      </c>
      <c r="L28" t="n">
        <v>41182</v>
      </c>
      <c r="M28" t="n">
        <v>4.8883034</v>
      </c>
      <c r="N28" t="n">
        <v>139724.45</v>
      </c>
      <c r="O28" t="n">
        <v>0.2947372489210013</v>
      </c>
      <c r="P28" t="n">
        <v>4.118612767742418</v>
      </c>
      <c r="Q28" t="n">
        <v>22.27622988177755</v>
      </c>
      <c r="R28" t="n">
        <v>17.64019355848596</v>
      </c>
      <c r="S28" t="n">
        <v>4.6</v>
      </c>
      <c r="T28" t="n">
        <v>-3.574329813160038</v>
      </c>
      <c r="U28" t="n">
        <v>-37.02917771883289</v>
      </c>
      <c r="V28" t="n">
        <v>13866</v>
      </c>
      <c r="W28" t="n">
        <v>15369.5</v>
      </c>
      <c r="X28" t="n">
        <v>19521.16666666667</v>
      </c>
      <c r="Y28" t="n">
        <v>0</v>
      </c>
      <c r="Z28" t="n">
        <v>0</v>
      </c>
      <c r="AA28" t="n">
        <v>0</v>
      </c>
      <c r="AB28" t="n">
        <v>7936.033478282523</v>
      </c>
      <c r="AC28" t="n">
        <v>8.699999999999999</v>
      </c>
      <c r="AD28" t="n">
        <v>82.40000000000001</v>
      </c>
      <c r="AE28" t="n">
        <v>20.7</v>
      </c>
      <c r="AF28" t="n">
        <v>48</v>
      </c>
      <c r="AG28" t="inlineStr">
        <is>
          <t>D</t>
        </is>
      </c>
    </row>
    <row r="29">
      <c r="A29" t="inlineStr">
        <is>
          <t>A380550</t>
        </is>
      </c>
      <c r="B29" t="inlineStr">
        <is>
          <t>뉴로핏</t>
        </is>
      </c>
      <c r="C29" t="inlineStr"/>
      <c r="D29" t="inlineStr"/>
      <c r="E29" t="n">
        <v>-5.5</v>
      </c>
      <c r="F29" t="n">
        <v>-12.3</v>
      </c>
      <c r="G29" t="n">
        <v>-72.8</v>
      </c>
      <c r="H29" t="n">
        <v>75</v>
      </c>
      <c r="I29" t="n">
        <v>191.6</v>
      </c>
      <c r="J29" t="n">
        <v>213.9</v>
      </c>
      <c r="K29" t="n">
        <v>13310</v>
      </c>
      <c r="L29" t="n">
        <v>157333</v>
      </c>
      <c r="M29" t="n">
        <v>20.9410223</v>
      </c>
      <c r="N29" t="n">
        <v>479759.6</v>
      </c>
      <c r="O29" t="n">
        <v>0.3279413272814135</v>
      </c>
      <c r="P29" t="n">
        <v>4.143621770817418</v>
      </c>
      <c r="Q29" t="n">
        <v>27.68195735658069</v>
      </c>
      <c r="R29" t="n">
        <v>20.05547093703864</v>
      </c>
      <c r="S29" t="n">
        <v>7.6</v>
      </c>
      <c r="T29" t="n">
        <v>0.5287009063444037</v>
      </c>
      <c r="U29" t="n">
        <v>-33.21625689914701</v>
      </c>
      <c r="V29" t="n">
        <v>15358</v>
      </c>
      <c r="W29" t="n">
        <v>16747</v>
      </c>
      <c r="X29" t="n">
        <v>19825.83333333333</v>
      </c>
      <c r="Y29" t="n">
        <v>0</v>
      </c>
      <c r="Z29" t="n">
        <v>0</v>
      </c>
      <c r="AA29" t="n">
        <v>0</v>
      </c>
      <c r="AB29" t="n">
        <v>7568.144874545229</v>
      </c>
      <c r="AC29" t="n">
        <v>32.9</v>
      </c>
      <c r="AD29" t="n">
        <v>59.3</v>
      </c>
      <c r="AE29" t="n">
        <v>28.1</v>
      </c>
      <c r="AF29" t="n">
        <v>45.1</v>
      </c>
      <c r="AG29" t="inlineStr">
        <is>
          <t>D</t>
        </is>
      </c>
    </row>
    <row r="30">
      <c r="A30" t="inlineStr">
        <is>
          <t>A484120</t>
        </is>
      </c>
      <c r="B30" t="inlineStr">
        <is>
          <t>도우인시스</t>
        </is>
      </c>
      <c r="C30" t="inlineStr"/>
      <c r="D30" t="inlineStr"/>
      <c r="E30" t="n">
        <v>-2.1</v>
      </c>
      <c r="F30" t="n">
        <v>-4.2</v>
      </c>
      <c r="G30" t="n">
        <v>-10</v>
      </c>
      <c r="H30" t="n">
        <v>5.1</v>
      </c>
      <c r="I30" t="n">
        <v>-30.2</v>
      </c>
      <c r="J30" t="n">
        <v>-53.2</v>
      </c>
      <c r="K30" t="n">
        <v>16840</v>
      </c>
      <c r="L30" t="n">
        <v>15022</v>
      </c>
      <c r="M30" t="n">
        <v>2.5297048</v>
      </c>
      <c r="N30" t="n">
        <v>28505.8</v>
      </c>
      <c r="O30" t="n">
        <v>0.5269804741491205</v>
      </c>
      <c r="P30" t="n">
        <v>3.786811125882762</v>
      </c>
      <c r="Q30" t="n">
        <v>32.44624114223171</v>
      </c>
      <c r="R30" t="n">
        <v>23.20499353533733</v>
      </c>
      <c r="S30" t="n">
        <v>9.199999999999999</v>
      </c>
      <c r="T30" t="n">
        <v>-2.771362586605086</v>
      </c>
      <c r="U30" t="n">
        <v>-27.0995670995671</v>
      </c>
      <c r="V30" t="n">
        <v>18521</v>
      </c>
      <c r="W30" t="n">
        <v>20358</v>
      </c>
      <c r="X30" t="n">
        <v>20613.83333333333</v>
      </c>
      <c r="Y30" t="n">
        <v>0</v>
      </c>
      <c r="Z30" t="n">
        <v>0</v>
      </c>
      <c r="AA30" t="n">
        <v>0</v>
      </c>
      <c r="AB30" t="n">
        <v>8934.725631224675</v>
      </c>
      <c r="AC30" t="n">
        <v>29.4</v>
      </c>
      <c r="AD30" t="n">
        <v>40.1</v>
      </c>
      <c r="AE30" t="n">
        <v>56.3</v>
      </c>
      <c r="AF30" t="n">
        <v>40.1</v>
      </c>
      <c r="AG30" t="inlineStr">
        <is>
          <t>D</t>
        </is>
      </c>
    </row>
    <row r="31">
      <c r="A31" t="inlineStr">
        <is>
          <t>A331740</t>
        </is>
      </c>
      <c r="B31" t="inlineStr">
        <is>
          <t>아우토크립트</t>
        </is>
      </c>
      <c r="C31" t="inlineStr"/>
      <c r="D31" t="inlineStr"/>
      <c r="E31" t="n">
        <v>-8.4</v>
      </c>
      <c r="F31" t="n">
        <v>117.8</v>
      </c>
      <c r="G31" t="n">
        <v>-120.5</v>
      </c>
      <c r="H31" t="n">
        <v>-40.6</v>
      </c>
      <c r="I31" t="n">
        <v>-96.7</v>
      </c>
      <c r="J31" t="n">
        <v>-131.3</v>
      </c>
      <c r="K31" t="n">
        <v>10580</v>
      </c>
      <c r="L31" t="n">
        <v>219498</v>
      </c>
      <c r="M31" t="n">
        <v>23.2228884</v>
      </c>
      <c r="N31" t="n">
        <v>108080.6</v>
      </c>
      <c r="O31" t="n">
        <v>2.030873255699913</v>
      </c>
      <c r="P31" t="n">
        <v>5.335365202880165</v>
      </c>
      <c r="Q31" t="n">
        <v>33.68126313732011</v>
      </c>
      <c r="R31" t="n">
        <v>34.86377228044685</v>
      </c>
      <c r="S31" t="n">
        <v>-1.2</v>
      </c>
      <c r="T31" t="n">
        <v>-12.92181069958848</v>
      </c>
      <c r="U31" t="n">
        <v>-28.56178257933828</v>
      </c>
      <c r="V31" t="n">
        <v>12247</v>
      </c>
      <c r="W31" t="n">
        <v>12699</v>
      </c>
      <c r="X31" t="n">
        <v>15147.83333333333</v>
      </c>
      <c r="Y31" t="n">
        <v>0</v>
      </c>
      <c r="Z31" t="n">
        <v>0</v>
      </c>
      <c r="AA31" t="n">
        <v>0</v>
      </c>
      <c r="AB31" t="n">
        <v>4306.194314436467</v>
      </c>
      <c r="AC31" t="n">
        <v>24.9</v>
      </c>
      <c r="AD31" t="n">
        <v>32.2</v>
      </c>
      <c r="AE31" t="n">
        <v>96.3</v>
      </c>
      <c r="AF31" t="n">
        <v>42.8</v>
      </c>
      <c r="AG31" t="inlineStr">
        <is>
          <t>D</t>
        </is>
      </c>
    </row>
    <row r="32">
      <c r="A32" t="inlineStr">
        <is>
          <t>A234030</t>
        </is>
      </c>
      <c r="B32" t="inlineStr">
        <is>
          <t>싸이닉솔루션</t>
        </is>
      </c>
      <c r="C32" t="inlineStr"/>
      <c r="D32" t="inlineStr"/>
      <c r="E32" t="n">
        <v>-3.7</v>
      </c>
      <c r="F32" t="n">
        <v>1</v>
      </c>
      <c r="G32" t="n">
        <v>4.2</v>
      </c>
      <c r="H32" t="n">
        <v>18.9</v>
      </c>
      <c r="I32" t="n">
        <v>65.3</v>
      </c>
      <c r="J32" t="n">
        <v>50.5</v>
      </c>
      <c r="K32" t="n">
        <v>4735</v>
      </c>
      <c r="L32" t="n">
        <v>123166</v>
      </c>
      <c r="M32" t="n">
        <v>5.8319101</v>
      </c>
      <c r="N32" t="n">
        <v>212306.45</v>
      </c>
      <c r="O32" t="n">
        <v>0.580133104764363</v>
      </c>
      <c r="P32" t="n">
        <v>3.279698319529072</v>
      </c>
      <c r="Q32" t="n">
        <v>24.55316929938218</v>
      </c>
      <c r="R32" t="n">
        <v>25.27210099503265</v>
      </c>
      <c r="S32" t="n">
        <v>-0.7</v>
      </c>
      <c r="T32" t="n">
        <v>0.4241781548250279</v>
      </c>
      <c r="U32" t="n">
        <v>-35.84010840108401</v>
      </c>
      <c r="V32" t="n">
        <v>5242.5</v>
      </c>
      <c r="W32" t="n">
        <v>5844.75</v>
      </c>
      <c r="X32" t="n">
        <v>6665.416666666667</v>
      </c>
      <c r="Y32" t="n">
        <v>0</v>
      </c>
      <c r="Z32" t="n">
        <v>0</v>
      </c>
      <c r="AA32" t="n">
        <v>0</v>
      </c>
      <c r="AB32" t="n">
        <v>3189.921464138015</v>
      </c>
      <c r="AC32" t="n">
        <v>27.2</v>
      </c>
      <c r="AD32" t="n">
        <v>65.59999999999999</v>
      </c>
      <c r="AE32" t="n">
        <v>62.2</v>
      </c>
      <c r="AF32" t="n">
        <v>53.4</v>
      </c>
      <c r="AG32" t="inlineStr">
        <is>
          <t>C</t>
        </is>
      </c>
    </row>
    <row r="33">
      <c r="A33" t="inlineStr">
        <is>
          <t>A463020</t>
        </is>
      </c>
      <c r="B33" t="inlineStr">
        <is>
          <t>뉴엔AI</t>
        </is>
      </c>
      <c r="C33" t="inlineStr"/>
      <c r="D33" t="inlineStr"/>
      <c r="E33" t="n">
        <v>-2</v>
      </c>
      <c r="F33" t="n">
        <v>-11.4</v>
      </c>
      <c r="G33" t="n">
        <v>-29</v>
      </c>
      <c r="H33" t="n">
        <v>25.3</v>
      </c>
      <c r="I33" t="n">
        <v>16</v>
      </c>
      <c r="J33" t="n">
        <v>-7.2</v>
      </c>
      <c r="K33" t="n">
        <v>8820</v>
      </c>
      <c r="L33" t="n">
        <v>98891</v>
      </c>
      <c r="M33" t="n">
        <v>8.722186199999999</v>
      </c>
      <c r="N33" t="n">
        <v>92838.05</v>
      </c>
      <c r="O33" t="n">
        <v>1.065199021306458</v>
      </c>
      <c r="P33" t="n">
        <v>3.908125309939439</v>
      </c>
      <c r="Q33" t="n">
        <v>26.07442916739495</v>
      </c>
      <c r="R33" t="n">
        <v>23.71003261404047</v>
      </c>
      <c r="S33" t="n">
        <v>2.4</v>
      </c>
      <c r="T33" t="n">
        <v>0.5701254275940704</v>
      </c>
      <c r="U33" t="n">
        <v>-41.89723320158103</v>
      </c>
      <c r="V33" t="n">
        <v>9777</v>
      </c>
      <c r="W33" t="n">
        <v>11229.5</v>
      </c>
      <c r="X33" t="n">
        <v>12657.5</v>
      </c>
      <c r="Y33" t="n">
        <v>0</v>
      </c>
      <c r="Z33" t="n">
        <v>0</v>
      </c>
      <c r="AA33" t="n">
        <v>0</v>
      </c>
      <c r="AB33" t="n">
        <v>7318.101278049493</v>
      </c>
      <c r="AC33" t="n">
        <v>25.3</v>
      </c>
      <c r="AD33" t="n">
        <v>51.9</v>
      </c>
      <c r="AE33" t="n">
        <v>91.09999999999999</v>
      </c>
      <c r="AF33" t="n">
        <v>51.8</v>
      </c>
      <c r="AG33" t="inlineStr">
        <is>
          <t>C</t>
        </is>
      </c>
    </row>
    <row r="34">
      <c r="A34" t="inlineStr">
        <is>
          <t>A388610</t>
        </is>
      </c>
      <c r="B34" t="inlineStr">
        <is>
          <t>지에프씨생명과학</t>
        </is>
      </c>
      <c r="C34" t="inlineStr"/>
      <c r="D34" t="inlineStr"/>
      <c r="E34" t="n">
        <v>-0</v>
      </c>
      <c r="F34" t="n">
        <v>0</v>
      </c>
      <c r="G34" t="n">
        <v>-19.5</v>
      </c>
      <c r="H34" t="n">
        <v>3.1</v>
      </c>
      <c r="I34" t="n">
        <v>2.1</v>
      </c>
      <c r="J34" t="n">
        <v>-24.4</v>
      </c>
      <c r="K34" t="n">
        <v>6560</v>
      </c>
      <c r="L34" t="n">
        <v>7149</v>
      </c>
      <c r="M34" t="n">
        <v>0.4689744</v>
      </c>
      <c r="N34" t="n">
        <v>23680.7</v>
      </c>
      <c r="O34" t="n">
        <v>0.3018914136828725</v>
      </c>
      <c r="P34" t="n">
        <v>3.338441351868295</v>
      </c>
      <c r="Q34" t="n">
        <v>25.41587243674861</v>
      </c>
      <c r="R34" t="n">
        <v>13.39633822355757</v>
      </c>
      <c r="S34" t="n">
        <v>12</v>
      </c>
      <c r="T34" t="n">
        <v>1.391035548686248</v>
      </c>
      <c r="U34" t="n">
        <v>-34.00402414486921</v>
      </c>
      <c r="V34" t="n">
        <v>7238</v>
      </c>
      <c r="W34" t="n">
        <v>8023.5</v>
      </c>
      <c r="X34" t="n">
        <v>9287.166666666666</v>
      </c>
      <c r="Y34" t="n">
        <v>0</v>
      </c>
      <c r="Z34" t="n">
        <v>0</v>
      </c>
      <c r="AA34" t="n">
        <v>0</v>
      </c>
      <c r="AB34" t="n">
        <v>4034.259078912721</v>
      </c>
      <c r="AC34" t="n">
        <v>33.9</v>
      </c>
      <c r="AD34" t="n">
        <v>53</v>
      </c>
      <c r="AE34" t="n">
        <v>23.7</v>
      </c>
      <c r="AF34" t="n">
        <v>41.4</v>
      </c>
      <c r="AG34" t="inlineStr">
        <is>
          <t>D</t>
        </is>
      </c>
    </row>
    <row r="35">
      <c r="A35" t="inlineStr">
        <is>
          <t>A340450</t>
        </is>
      </c>
      <c r="B35" t="inlineStr">
        <is>
          <t>지씨지놈</t>
        </is>
      </c>
      <c r="C35" t="inlineStr"/>
      <c r="D35" t="inlineStr"/>
      <c r="E35" t="n">
        <v>-11.1</v>
      </c>
      <c r="F35" t="n">
        <v>-17.7</v>
      </c>
      <c r="G35" t="n">
        <v>-61.6</v>
      </c>
      <c r="H35" t="n">
        <v>25.7</v>
      </c>
      <c r="I35" t="n">
        <v>-38.7</v>
      </c>
      <c r="J35" t="n">
        <v>-245.5</v>
      </c>
      <c r="K35" t="n">
        <v>5560</v>
      </c>
      <c r="L35" t="n">
        <v>89839</v>
      </c>
      <c r="M35" t="n">
        <v>4.9950484</v>
      </c>
      <c r="N35" t="n">
        <v>222973.05</v>
      </c>
      <c r="O35" t="n">
        <v>0.4029141638417737</v>
      </c>
      <c r="P35" t="n">
        <v>3.125501068481479</v>
      </c>
      <c r="Q35" t="n">
        <v>25.06503051131933</v>
      </c>
      <c r="R35" t="n">
        <v>10.29240736600948</v>
      </c>
      <c r="S35" t="n">
        <v>14.8</v>
      </c>
      <c r="T35" t="n">
        <v>-0.3584229390681037</v>
      </c>
      <c r="U35" t="n">
        <v>-32.76904474002419</v>
      </c>
      <c r="V35" t="n">
        <v>6353</v>
      </c>
      <c r="W35" t="n">
        <v>6776.5</v>
      </c>
      <c r="X35" t="n">
        <v>7433.833333333333</v>
      </c>
      <c r="Y35" t="n">
        <v>0</v>
      </c>
      <c r="Z35" t="n">
        <v>0</v>
      </c>
      <c r="AA35" t="n">
        <v>0</v>
      </c>
      <c r="AB35" t="n">
        <v>2502.925446247587</v>
      </c>
      <c r="AC35" t="n">
        <v>27.3</v>
      </c>
      <c r="AD35" t="n">
        <v>36.5</v>
      </c>
      <c r="AE35" t="n">
        <v>40.7</v>
      </c>
      <c r="AF35" t="n">
        <v>34.6</v>
      </c>
      <c r="AG35" t="inlineStr">
        <is>
          <t>D</t>
        </is>
      </c>
    </row>
    <row r="36">
      <c r="A36" t="inlineStr">
        <is>
          <t>A474650</t>
        </is>
      </c>
      <c r="B36" t="inlineStr">
        <is>
          <t>링크솔루션</t>
        </is>
      </c>
      <c r="C36" t="inlineStr"/>
      <c r="D36" t="inlineStr"/>
      <c r="E36" t="n">
        <v>3.6</v>
      </c>
      <c r="F36" t="n">
        <v>53.1</v>
      </c>
      <c r="G36" t="n">
        <v>-10.4</v>
      </c>
      <c r="H36" t="n">
        <v>87.3</v>
      </c>
      <c r="I36" t="n">
        <v>166</v>
      </c>
      <c r="J36" t="n">
        <v>72.90000000000001</v>
      </c>
      <c r="K36" t="n">
        <v>42500</v>
      </c>
      <c r="L36" t="n">
        <v>57418</v>
      </c>
      <c r="M36" t="n">
        <v>24.40265</v>
      </c>
      <c r="N36" t="n">
        <v>102450.55</v>
      </c>
      <c r="O36" t="n">
        <v>0.5604459907731095</v>
      </c>
      <c r="P36" t="n">
        <v>3.496962236438847</v>
      </c>
      <c r="Q36" t="n">
        <v>25.84897861583133</v>
      </c>
      <c r="R36" t="n">
        <v>17.30718512010093</v>
      </c>
      <c r="S36" t="n">
        <v>8.5</v>
      </c>
      <c r="T36" t="n">
        <v>-2.745995423340963</v>
      </c>
      <c r="U36" t="n">
        <v>-28.45117845117845</v>
      </c>
      <c r="V36" t="n">
        <v>48180</v>
      </c>
      <c r="W36" t="n">
        <v>51837.5</v>
      </c>
      <c r="X36" t="n">
        <v>58299.16666666666</v>
      </c>
      <c r="Y36" t="n">
        <v>0</v>
      </c>
      <c r="Z36" t="n">
        <v>0</v>
      </c>
      <c r="AA36" t="n">
        <v>0</v>
      </c>
      <c r="AB36" t="n">
        <v>19468.93612101632</v>
      </c>
      <c r="AC36" t="n">
        <v>23.6</v>
      </c>
      <c r="AD36" t="n">
        <v>80.40000000000001</v>
      </c>
      <c r="AE36" t="n">
        <v>60</v>
      </c>
      <c r="AF36" t="n">
        <v>59.3</v>
      </c>
      <c r="AG36" t="inlineStr">
        <is>
          <t>C</t>
        </is>
      </c>
    </row>
    <row r="37">
      <c r="A37" t="inlineStr">
        <is>
          <t>A475430</t>
        </is>
      </c>
      <c r="B37" t="inlineStr">
        <is>
          <t>키스트론</t>
        </is>
      </c>
      <c r="C37" t="inlineStr"/>
      <c r="D37" t="inlineStr"/>
      <c r="E37" t="n">
        <v>-0</v>
      </c>
      <c r="F37" t="n">
        <v>-0.6</v>
      </c>
      <c r="G37" t="n">
        <v>-20.5</v>
      </c>
      <c r="H37" t="n">
        <v>17.1</v>
      </c>
      <c r="I37" t="n">
        <v>-20.2</v>
      </c>
      <c r="J37" t="n">
        <v>13.5</v>
      </c>
      <c r="K37" t="n">
        <v>4680</v>
      </c>
      <c r="L37" t="n">
        <v>255623</v>
      </c>
      <c r="M37" t="n">
        <v>11.9631564</v>
      </c>
      <c r="N37" t="n">
        <v>1201089.9</v>
      </c>
      <c r="O37" t="n">
        <v>0.212825867572444</v>
      </c>
      <c r="P37" t="n">
        <v>7.523163694151902</v>
      </c>
      <c r="Q37" t="n">
        <v>42.87360647794905</v>
      </c>
      <c r="R37" t="n">
        <v>20.4341070724553</v>
      </c>
      <c r="S37" t="n">
        <v>22.4</v>
      </c>
      <c r="T37" t="n">
        <v>-0.7423117709437932</v>
      </c>
      <c r="U37" t="n">
        <v>-32.95128939828081</v>
      </c>
      <c r="V37" t="n">
        <v>5107</v>
      </c>
      <c r="W37" t="n">
        <v>5293</v>
      </c>
      <c r="X37" t="n">
        <v>4816.5</v>
      </c>
      <c r="Y37" t="n">
        <v>0</v>
      </c>
      <c r="Z37" t="n">
        <v>0</v>
      </c>
      <c r="AA37" t="n">
        <v>0</v>
      </c>
      <c r="AB37" t="n">
        <v>2216.088540887442</v>
      </c>
      <c r="AC37" t="n">
        <v>37.9</v>
      </c>
      <c r="AD37" t="n">
        <v>53</v>
      </c>
      <c r="AE37" t="n">
        <v>10.4</v>
      </c>
      <c r="AF37" t="n">
        <v>39.9</v>
      </c>
      <c r="AG37" t="inlineStr">
        <is>
          <t>D</t>
        </is>
      </c>
    </row>
    <row r="38">
      <c r="A38" t="inlineStr">
        <is>
          <t>A287840</t>
        </is>
      </c>
      <c r="B38" t="inlineStr">
        <is>
          <t>인투셀</t>
        </is>
      </c>
      <c r="C38" t="inlineStr"/>
      <c r="D38" t="inlineStr"/>
      <c r="E38" t="n">
        <v>8.1</v>
      </c>
      <c r="F38" t="n">
        <v>75.90000000000001</v>
      </c>
      <c r="G38" t="n">
        <v>314.5</v>
      </c>
      <c r="H38" t="n">
        <v>-9.199999999999999</v>
      </c>
      <c r="I38" t="n">
        <v>188.6</v>
      </c>
      <c r="J38" t="n">
        <v>488</v>
      </c>
      <c r="K38" t="n">
        <v>26400</v>
      </c>
      <c r="L38" t="n">
        <v>45850</v>
      </c>
      <c r="M38" t="n">
        <v>12.1044</v>
      </c>
      <c r="N38" t="n">
        <v>84577.85000000001</v>
      </c>
      <c r="O38" t="n">
        <v>0.5421041088180889</v>
      </c>
      <c r="P38" t="n">
        <v>2.859477262095634</v>
      </c>
      <c r="Q38" t="n">
        <v>24.57758536025586</v>
      </c>
      <c r="R38" t="n">
        <v>14.26279531563138</v>
      </c>
      <c r="S38" t="n">
        <v>10.3</v>
      </c>
      <c r="T38" t="n">
        <v>-1.49253731343284</v>
      </c>
      <c r="U38" t="n">
        <v>-25.94670406732118</v>
      </c>
      <c r="V38" t="n">
        <v>28900</v>
      </c>
      <c r="W38" t="n">
        <v>30922.5</v>
      </c>
      <c r="X38" t="n">
        <v>38566.66666666666</v>
      </c>
      <c r="Y38" t="n">
        <v>0</v>
      </c>
      <c r="Z38" t="n">
        <v>0</v>
      </c>
      <c r="AA38" t="n">
        <v>0</v>
      </c>
      <c r="AB38" t="n">
        <v>10803.60076426764</v>
      </c>
      <c r="AC38" t="n">
        <v>28.7</v>
      </c>
      <c r="AD38" t="n">
        <v>74.3</v>
      </c>
      <c r="AE38" t="n">
        <v>57</v>
      </c>
      <c r="AF38" t="n">
        <v>57.2</v>
      </c>
      <c r="AG38" t="inlineStr">
        <is>
          <t>C</t>
        </is>
      </c>
    </row>
    <row r="39">
      <c r="A39" t="inlineStr">
        <is>
          <t>A483650</t>
        </is>
      </c>
      <c r="B39" t="inlineStr">
        <is>
          <t>달바글로벌</t>
        </is>
      </c>
      <c r="C39" t="inlineStr"/>
      <c r="D39" t="inlineStr"/>
      <c r="E39" t="n">
        <v>-1546</v>
      </c>
      <c r="F39" t="n">
        <v>-4786</v>
      </c>
      <c r="G39" t="n">
        <v>-3164.1</v>
      </c>
      <c r="H39" t="n">
        <v>1589.7</v>
      </c>
      <c r="I39" t="n">
        <v>7177.5</v>
      </c>
      <c r="J39" t="n">
        <v>12949.7</v>
      </c>
      <c r="K39" t="n">
        <v>198100</v>
      </c>
      <c r="L39" t="n">
        <v>261115</v>
      </c>
      <c r="M39" t="n">
        <v>517.268815</v>
      </c>
      <c r="N39" t="n">
        <v>254263.05</v>
      </c>
      <c r="O39" t="n">
        <v>1.026948272664864</v>
      </c>
      <c r="P39" t="n">
        <v>4.674422902671763</v>
      </c>
      <c r="Q39" t="n">
        <v>43.86710140349594</v>
      </c>
      <c r="R39" t="n">
        <v>25.40613978679156</v>
      </c>
      <c r="S39" t="n">
        <v>18.5</v>
      </c>
      <c r="T39" t="n">
        <v>5.709711846318033</v>
      </c>
      <c r="U39" t="n">
        <v>-11.36465324384787</v>
      </c>
      <c r="V39" t="n">
        <v>205400</v>
      </c>
      <c r="W39" t="n">
        <v>217875</v>
      </c>
      <c r="X39" t="n">
        <v>189655</v>
      </c>
      <c r="Y39" t="n">
        <v>0</v>
      </c>
      <c r="Z39" t="n">
        <v>0</v>
      </c>
      <c r="AA39" t="n">
        <v>1</v>
      </c>
      <c r="AB39" t="n">
        <v>74619.35687911441</v>
      </c>
      <c r="AC39" t="n">
        <v>69.5</v>
      </c>
      <c r="AD39" t="n">
        <v>50.7</v>
      </c>
      <c r="AE39" t="n">
        <v>89.59999999999999</v>
      </c>
      <c r="AF39" t="n">
        <v>64.09999999999999</v>
      </c>
      <c r="AG39" t="inlineStr">
        <is>
          <t>C</t>
        </is>
      </c>
    </row>
    <row r="40">
      <c r="A40" t="inlineStr">
        <is>
          <t>A489460</t>
        </is>
      </c>
      <c r="B40" t="inlineStr">
        <is>
          <t>바이오비쥬</t>
        </is>
      </c>
      <c r="C40" t="inlineStr"/>
      <c r="D40" t="inlineStr"/>
      <c r="E40" t="n">
        <v>-3.5</v>
      </c>
      <c r="F40" t="n">
        <v>-4.9</v>
      </c>
      <c r="G40" t="n">
        <v>-9.1</v>
      </c>
      <c r="H40" t="n">
        <v>-3.9</v>
      </c>
      <c r="I40" t="n">
        <v>23.6</v>
      </c>
      <c r="J40" t="n">
        <v>22.3</v>
      </c>
      <c r="K40" t="n">
        <v>6720</v>
      </c>
      <c r="L40" t="n">
        <v>66268</v>
      </c>
      <c r="M40" t="n">
        <v>4.4532096</v>
      </c>
      <c r="N40" t="n">
        <v>84927.45</v>
      </c>
      <c r="O40" t="n">
        <v>0.7802895294748635</v>
      </c>
      <c r="P40" t="n">
        <v>3.474658198791686</v>
      </c>
      <c r="Q40" t="n">
        <v>40.88968756019091</v>
      </c>
      <c r="R40" t="n">
        <v>29.06489904885363</v>
      </c>
      <c r="S40" t="n">
        <v>11.8</v>
      </c>
      <c r="T40" t="n">
        <v>-0.1485884101040114</v>
      </c>
      <c r="U40" t="n">
        <v>-19.03614457831325</v>
      </c>
      <c r="V40" t="n">
        <v>6595</v>
      </c>
      <c r="W40" t="n">
        <v>6858</v>
      </c>
      <c r="X40" t="n">
        <v>8049.333333333333</v>
      </c>
      <c r="Y40" t="n">
        <v>1</v>
      </c>
      <c r="Z40" t="n">
        <v>0</v>
      </c>
      <c r="AA40" t="n">
        <v>0</v>
      </c>
      <c r="AB40" t="n">
        <v>1868.682620682866</v>
      </c>
      <c r="AC40" t="n">
        <v>72.3</v>
      </c>
      <c r="AD40" t="n">
        <v>45.5</v>
      </c>
      <c r="AE40" t="n">
        <v>78.5</v>
      </c>
      <c r="AF40" t="n">
        <v>60.1</v>
      </c>
      <c r="AG40" t="inlineStr">
        <is>
          <t>C</t>
        </is>
      </c>
    </row>
    <row r="41">
      <c r="A41" t="inlineStr">
        <is>
          <t>A424870</t>
        </is>
      </c>
      <c r="B41" t="inlineStr">
        <is>
          <t>이뮨온시아</t>
        </is>
      </c>
      <c r="C41" t="inlineStr"/>
      <c r="D41" t="inlineStr"/>
      <c r="E41" t="n">
        <v>-47.1</v>
      </c>
      <c r="F41" t="n">
        <v>-115.8</v>
      </c>
      <c r="G41" t="n">
        <v>-507.2</v>
      </c>
      <c r="H41" t="n">
        <v>-25.4</v>
      </c>
      <c r="I41" t="n">
        <v>-82.7</v>
      </c>
      <c r="J41" t="n">
        <v>0.6</v>
      </c>
      <c r="K41" t="n">
        <v>4425</v>
      </c>
      <c r="L41" t="n">
        <v>1883495</v>
      </c>
      <c r="M41" t="n">
        <v>83.34465375000001</v>
      </c>
      <c r="N41" t="n">
        <v>512446.75</v>
      </c>
      <c r="O41" t="n">
        <v>3.675494087922306</v>
      </c>
      <c r="P41" t="n">
        <v>5.066704153608313</v>
      </c>
      <c r="Q41" t="n">
        <v>28.77866580071285</v>
      </c>
      <c r="R41" t="n">
        <v>27.95774680434242</v>
      </c>
      <c r="S41" t="n">
        <v>0.8</v>
      </c>
      <c r="T41" t="n">
        <v>-15.71428571428571</v>
      </c>
      <c r="U41" t="n">
        <v>-36.05491329479769</v>
      </c>
      <c r="V41" t="n">
        <v>5704.5</v>
      </c>
      <c r="W41" t="n">
        <v>5879.25</v>
      </c>
      <c r="X41" t="n">
        <v>7098</v>
      </c>
      <c r="Y41" t="n">
        <v>0</v>
      </c>
      <c r="Z41" t="n">
        <v>0</v>
      </c>
      <c r="AA41" t="n">
        <v>0</v>
      </c>
      <c r="AB41" t="n">
        <v>2285.443870282241</v>
      </c>
      <c r="AC41" t="n">
        <v>12.2</v>
      </c>
      <c r="AD41" t="n">
        <v>19.8</v>
      </c>
      <c r="AE41" t="n">
        <v>99.3</v>
      </c>
      <c r="AF41" t="n">
        <v>33.4</v>
      </c>
      <c r="AG41" t="inlineStr">
        <is>
          <t>D</t>
        </is>
      </c>
    </row>
    <row r="42">
      <c r="A42" t="inlineStr">
        <is>
          <t>A376900</t>
        </is>
      </c>
      <c r="B42" t="inlineStr">
        <is>
          <t>로킷헬스케어</t>
        </is>
      </c>
      <c r="C42" t="inlineStr"/>
      <c r="D42" t="inlineStr"/>
      <c r="E42" t="n">
        <v>-44</v>
      </c>
      <c r="F42" t="n">
        <v>15.6</v>
      </c>
      <c r="G42" t="n">
        <v>62.1</v>
      </c>
      <c r="H42" t="n">
        <v>-30.6</v>
      </c>
      <c r="I42" t="n">
        <v>-638.4</v>
      </c>
      <c r="J42" t="n">
        <v>287.6</v>
      </c>
      <c r="K42" t="n">
        <v>52300</v>
      </c>
      <c r="L42" t="n">
        <v>90780</v>
      </c>
      <c r="M42" t="n">
        <v>47.47794</v>
      </c>
      <c r="N42" t="n">
        <v>260370.45</v>
      </c>
      <c r="O42" t="n">
        <v>0.348657076868746</v>
      </c>
      <c r="P42" t="n">
        <v>6.241475099529984</v>
      </c>
      <c r="Q42" t="n">
        <v>33.48164000104271</v>
      </c>
      <c r="R42" t="n">
        <v>55.14855936083098</v>
      </c>
      <c r="S42" t="n">
        <v>-21.7</v>
      </c>
      <c r="T42" t="n">
        <v>-3.50553505535055</v>
      </c>
      <c r="U42" t="n">
        <v>-26.85314685314685</v>
      </c>
      <c r="V42" t="n">
        <v>55880</v>
      </c>
      <c r="W42" t="n">
        <v>62525</v>
      </c>
      <c r="X42" t="n">
        <v>90760</v>
      </c>
      <c r="Y42" t="n">
        <v>0</v>
      </c>
      <c r="Z42" t="n">
        <v>0</v>
      </c>
      <c r="AA42" t="n">
        <v>0</v>
      </c>
      <c r="AB42" t="n">
        <v>32496.38036523617</v>
      </c>
      <c r="AC42" t="n">
        <v>28.7</v>
      </c>
      <c r="AD42" t="n">
        <v>42.3</v>
      </c>
      <c r="AE42" t="n">
        <v>31.9</v>
      </c>
      <c r="AF42" t="n">
        <v>36.1</v>
      </c>
      <c r="AG42" t="inlineStr">
        <is>
          <t>D</t>
        </is>
      </c>
    </row>
    <row r="43">
      <c r="A43" t="inlineStr">
        <is>
          <t>A476040</t>
        </is>
      </c>
      <c r="B43" t="inlineStr">
        <is>
          <t>오가노이드사이언스</t>
        </is>
      </c>
      <c r="C43" t="inlineStr"/>
      <c r="D43" t="inlineStr"/>
      <c r="E43" t="n">
        <v>-20.7</v>
      </c>
      <c r="F43" t="n">
        <v>-30.4</v>
      </c>
      <c r="G43" t="n">
        <v>-75.09999999999999</v>
      </c>
      <c r="H43" t="n">
        <v>47.1</v>
      </c>
      <c r="I43" t="n">
        <v>147.8</v>
      </c>
      <c r="J43" t="n">
        <v>280.7</v>
      </c>
      <c r="K43" t="n">
        <v>13350</v>
      </c>
      <c r="L43" t="n">
        <v>42205</v>
      </c>
      <c r="M43" t="n">
        <v>5.6343675</v>
      </c>
      <c r="N43" t="n">
        <v>70096.8</v>
      </c>
      <c r="O43" t="n">
        <v>0.6020959587313544</v>
      </c>
      <c r="P43" t="n">
        <v>3.009667192245883</v>
      </c>
      <c r="Q43" t="n">
        <v>19.19203051369785</v>
      </c>
      <c r="R43" t="n">
        <v>9.511849987730683</v>
      </c>
      <c r="S43" t="n">
        <v>9.699999999999999</v>
      </c>
      <c r="T43" t="n">
        <v>-3.190717911530094</v>
      </c>
      <c r="U43" t="n">
        <v>-39.31818181818182</v>
      </c>
      <c r="V43" t="n">
        <v>15463</v>
      </c>
      <c r="W43" t="n">
        <v>17023</v>
      </c>
      <c r="X43" t="n">
        <v>21818.5</v>
      </c>
      <c r="Y43" t="n">
        <v>0</v>
      </c>
      <c r="Z43" t="n">
        <v>0</v>
      </c>
      <c r="AA43" t="n">
        <v>0</v>
      </c>
      <c r="AB43" t="n">
        <v>8603.794511725557</v>
      </c>
      <c r="AC43" t="n">
        <v>6.9</v>
      </c>
      <c r="AD43" t="n">
        <v>54.3</v>
      </c>
      <c r="AE43" t="n">
        <v>64.40000000000001</v>
      </c>
      <c r="AF43" t="n">
        <v>42.1</v>
      </c>
      <c r="AG43" t="inlineStr">
        <is>
          <t>D</t>
        </is>
      </c>
    </row>
    <row r="44">
      <c r="A44" t="inlineStr">
        <is>
          <t>A136150</t>
        </is>
      </c>
      <c r="B44" t="inlineStr">
        <is>
          <t>원일티엔아이</t>
        </is>
      </c>
      <c r="C44" t="inlineStr"/>
      <c r="D44" t="inlineStr"/>
      <c r="E44" t="n">
        <v>-2.7</v>
      </c>
      <c r="F44" t="n">
        <v>-8.1</v>
      </c>
      <c r="G44" t="n">
        <v>-25.4</v>
      </c>
      <c r="H44" t="n">
        <v>17.7</v>
      </c>
      <c r="I44" t="n">
        <v>-7.2</v>
      </c>
      <c r="J44" t="n">
        <v>-64.09999999999999</v>
      </c>
      <c r="K44" t="n">
        <v>12080</v>
      </c>
      <c r="L44" t="n">
        <v>17145</v>
      </c>
      <c r="M44" t="n">
        <v>2.071116</v>
      </c>
      <c r="N44" t="n">
        <v>53510.65</v>
      </c>
      <c r="O44" t="n">
        <v>0.3204035084604653</v>
      </c>
      <c r="P44" t="n">
        <v>3.887366384990495</v>
      </c>
      <c r="Q44" t="n">
        <v>31.3552849131414</v>
      </c>
      <c r="R44" t="n">
        <v>40.91464828505187</v>
      </c>
      <c r="S44" t="n">
        <v>-9.6</v>
      </c>
      <c r="T44" t="n">
        <v>5.594405594405605</v>
      </c>
      <c r="U44" t="n">
        <v>-34.06113537117904</v>
      </c>
      <c r="V44" t="n">
        <v>13173</v>
      </c>
      <c r="W44" t="n">
        <v>14659.5</v>
      </c>
      <c r="X44" t="n">
        <v>16445.16666666667</v>
      </c>
      <c r="Y44" t="n">
        <v>0</v>
      </c>
      <c r="Z44" t="n">
        <v>0</v>
      </c>
      <c r="AA44" t="n">
        <v>0</v>
      </c>
      <c r="AB44" t="n">
        <v>8357.722933405916</v>
      </c>
      <c r="AC44" t="n">
        <v>43.7</v>
      </c>
      <c r="AD44" t="n">
        <v>44</v>
      </c>
      <c r="AE44" t="n">
        <v>27.4</v>
      </c>
      <c r="AF44" t="n">
        <v>40.6</v>
      </c>
      <c r="AG44" t="inlineStr">
        <is>
          <t>D</t>
        </is>
      </c>
    </row>
    <row r="45">
      <c r="A45" t="inlineStr">
        <is>
          <t>A459510</t>
        </is>
      </c>
      <c r="B45" t="inlineStr">
        <is>
          <t>나우로보틱스</t>
        </is>
      </c>
      <c r="C45" t="inlineStr"/>
      <c r="D45" t="inlineStr"/>
      <c r="E45" t="n">
        <v>17.5</v>
      </c>
      <c r="F45" t="n">
        <v>-37.9</v>
      </c>
      <c r="G45" t="n">
        <v>-87.40000000000001</v>
      </c>
      <c r="H45" t="n">
        <v>-9.5</v>
      </c>
      <c r="I45" t="n">
        <v>-44.9</v>
      </c>
      <c r="J45" t="n">
        <v>-163.1</v>
      </c>
      <c r="K45" t="n">
        <v>21050</v>
      </c>
      <c r="L45" t="n">
        <v>64047</v>
      </c>
      <c r="M45" t="n">
        <v>13.4818935</v>
      </c>
      <c r="N45" t="n">
        <v>401926.95</v>
      </c>
      <c r="O45" t="n">
        <v>0.1593498520066893</v>
      </c>
      <c r="P45" t="n">
        <v>7.193395376324766</v>
      </c>
      <c r="Q45" t="n">
        <v>36.35848890775005</v>
      </c>
      <c r="R45" t="n">
        <v>17.23404297469407</v>
      </c>
      <c r="S45" t="n">
        <v>19.1</v>
      </c>
      <c r="T45" t="n">
        <v>-4.318181818181821</v>
      </c>
      <c r="U45" t="n">
        <v>-30.52805280528052</v>
      </c>
      <c r="V45" t="n">
        <v>23650</v>
      </c>
      <c r="W45" t="n">
        <v>26172.5</v>
      </c>
      <c r="X45" t="n">
        <v>23467.16666666667</v>
      </c>
      <c r="Y45" t="n">
        <v>0</v>
      </c>
      <c r="Z45" t="n">
        <v>0</v>
      </c>
      <c r="AA45" t="n">
        <v>0</v>
      </c>
      <c r="AB45" t="n">
        <v>12506.41519591572</v>
      </c>
      <c r="AC45" t="n">
        <v>27.4</v>
      </c>
      <c r="AD45" t="n">
        <v>37.3</v>
      </c>
      <c r="AE45" t="n">
        <v>7.4</v>
      </c>
      <c r="AF45" t="n">
        <v>28.4</v>
      </c>
      <c r="AG45" t="inlineStr">
        <is>
          <t>F</t>
        </is>
      </c>
    </row>
    <row r="46">
      <c r="A46" t="inlineStr">
        <is>
          <t>A081180</t>
        </is>
      </c>
      <c r="B46" t="inlineStr">
        <is>
          <t>쎄크</t>
        </is>
      </c>
      <c r="C46" t="inlineStr"/>
      <c r="D46" t="inlineStr"/>
      <c r="E46" t="n">
        <v>-5.2</v>
      </c>
      <c r="F46" t="n">
        <v>-27.8</v>
      </c>
      <c r="G46" t="n">
        <v>-222.8</v>
      </c>
      <c r="H46" t="n">
        <v>-4.1</v>
      </c>
      <c r="I46" t="n">
        <v>-40</v>
      </c>
      <c r="J46" t="n">
        <v>-14</v>
      </c>
      <c r="K46" t="n">
        <v>8120</v>
      </c>
      <c r="L46" t="n">
        <v>95658</v>
      </c>
      <c r="M46" t="n">
        <v>7.7674296</v>
      </c>
      <c r="N46" t="n">
        <v>334221.7</v>
      </c>
      <c r="O46" t="n">
        <v>0.2862112184816246</v>
      </c>
      <c r="P46" t="n">
        <v>5.104289362389959</v>
      </c>
      <c r="Q46" t="n">
        <v>27.83566389625166</v>
      </c>
      <c r="R46" t="n">
        <v>47.57854084254931</v>
      </c>
      <c r="S46" t="n">
        <v>-19.7</v>
      </c>
      <c r="T46" t="n">
        <v>-1.813784764207982</v>
      </c>
      <c r="U46" t="n">
        <v>-39.89637305699482</v>
      </c>
      <c r="V46" t="n">
        <v>9763</v>
      </c>
      <c r="W46" t="n">
        <v>10715</v>
      </c>
      <c r="X46" t="n">
        <v>12022.5</v>
      </c>
      <c r="Y46" t="n">
        <v>0</v>
      </c>
      <c r="Z46" t="n">
        <v>0</v>
      </c>
      <c r="AA46" t="n">
        <v>0</v>
      </c>
      <c r="AB46" t="n">
        <v>6819.458228211079</v>
      </c>
      <c r="AC46" t="n">
        <v>15.8</v>
      </c>
      <c r="AD46" t="n">
        <v>30.1</v>
      </c>
      <c r="AE46" t="n">
        <v>20</v>
      </c>
      <c r="AF46" t="n">
        <v>23.8</v>
      </c>
      <c r="AG46" t="inlineStr">
        <is>
          <t>F</t>
        </is>
      </c>
    </row>
    <row r="47">
      <c r="A47" t="inlineStr">
        <is>
          <t>A448900</t>
        </is>
      </c>
      <c r="B47" t="inlineStr">
        <is>
          <t>한국피아이엠</t>
        </is>
      </c>
      <c r="C47" t="inlineStr"/>
      <c r="D47" t="inlineStr"/>
      <c r="E47" t="n">
        <v>170.5</v>
      </c>
      <c r="F47" t="n">
        <v>1412.9</v>
      </c>
      <c r="G47" t="n">
        <v>1401.5</v>
      </c>
      <c r="H47" t="n">
        <v>-72.3</v>
      </c>
      <c r="I47" t="n">
        <v>-93.3</v>
      </c>
      <c r="J47" t="n">
        <v>-15.3</v>
      </c>
      <c r="K47" t="n">
        <v>90600</v>
      </c>
      <c r="L47" t="n">
        <v>80714</v>
      </c>
      <c r="M47" t="n">
        <v>73.126884</v>
      </c>
      <c r="N47" t="n">
        <v>259323.55</v>
      </c>
      <c r="O47" t="n">
        <v>0.3112482456761062</v>
      </c>
      <c r="P47" t="n">
        <v>8.871839733776925</v>
      </c>
      <c r="Q47" t="n">
        <v>42.03709934941103</v>
      </c>
      <c r="R47" t="n">
        <v>26.96053716765249</v>
      </c>
      <c r="S47" t="n">
        <v>15.1</v>
      </c>
      <c r="T47" t="n">
        <v>-5.130890052356019</v>
      </c>
      <c r="U47" t="n">
        <v>-29.16340891321344</v>
      </c>
      <c r="V47" t="n">
        <v>97530</v>
      </c>
      <c r="W47" t="n">
        <v>106125</v>
      </c>
      <c r="X47" t="n">
        <v>107470</v>
      </c>
      <c r="Y47" t="n">
        <v>0</v>
      </c>
      <c r="Z47" t="n">
        <v>0</v>
      </c>
      <c r="AA47" t="n">
        <v>0</v>
      </c>
      <c r="AB47" t="n">
        <v>60280.86892119869</v>
      </c>
      <c r="AC47" t="n">
        <v>31.1</v>
      </c>
      <c r="AD47" t="n">
        <v>58.8</v>
      </c>
      <c r="AE47" t="n">
        <v>25.2</v>
      </c>
      <c r="AF47" t="n">
        <v>43.8</v>
      </c>
      <c r="AG47" t="inlineStr">
        <is>
          <t>D</t>
        </is>
      </c>
    </row>
    <row r="48">
      <c r="A48" t="inlineStr">
        <is>
          <t>A481070</t>
        </is>
      </c>
      <c r="B48" t="inlineStr">
        <is>
          <t>에이유브랜즈</t>
        </is>
      </c>
      <c r="C48" t="inlineStr"/>
      <c r="D48" t="inlineStr"/>
      <c r="E48" t="n">
        <v>-12.1</v>
      </c>
      <c r="F48" t="n">
        <v>-88.2</v>
      </c>
      <c r="G48" t="n">
        <v>-199.6</v>
      </c>
      <c r="H48" t="n">
        <v>20.4</v>
      </c>
      <c r="I48" t="n">
        <v>44.8</v>
      </c>
      <c r="J48" t="n">
        <v>12.1</v>
      </c>
      <c r="K48" t="n">
        <v>12420</v>
      </c>
      <c r="L48" t="n">
        <v>101612</v>
      </c>
      <c r="M48" t="n">
        <v>12.6202104</v>
      </c>
      <c r="N48" t="n">
        <v>32942.15</v>
      </c>
      <c r="O48" t="n">
        <v>3.084558840269988</v>
      </c>
      <c r="P48" t="n">
        <v>2.826410644628966</v>
      </c>
      <c r="Q48" t="n">
        <v>20.71842891899411</v>
      </c>
      <c r="R48" t="n">
        <v>10.59844735527687</v>
      </c>
      <c r="S48" t="n">
        <v>10.1</v>
      </c>
      <c r="T48" t="n">
        <v>-1.506740681998409</v>
      </c>
      <c r="U48" t="n">
        <v>-30.76923076923077</v>
      </c>
      <c r="V48" t="n">
        <v>14135</v>
      </c>
      <c r="W48" t="n">
        <v>15573</v>
      </c>
      <c r="X48" t="n">
        <v>17103.16666666667</v>
      </c>
      <c r="Y48" t="n">
        <v>0</v>
      </c>
      <c r="Z48" t="n">
        <v>0</v>
      </c>
      <c r="AA48" t="n">
        <v>0</v>
      </c>
      <c r="AB48" t="n">
        <v>6714.297078857737</v>
      </c>
      <c r="AC48" t="n">
        <v>21.4</v>
      </c>
      <c r="AD48" t="n">
        <v>44.6</v>
      </c>
      <c r="AE48" t="n">
        <v>98.5</v>
      </c>
      <c r="AF48" t="n">
        <v>48.4</v>
      </c>
      <c r="AG48" t="inlineStr">
        <is>
          <t>D</t>
        </is>
      </c>
    </row>
    <row r="49">
      <c r="A49" t="inlineStr">
        <is>
          <t>A462860</t>
        </is>
      </c>
      <c r="B49" t="inlineStr">
        <is>
          <t>더즌</t>
        </is>
      </c>
      <c r="C49" t="inlineStr"/>
      <c r="D49" t="inlineStr"/>
      <c r="E49" t="n">
        <v>1.9</v>
      </c>
      <c r="F49" t="n">
        <v>1.8</v>
      </c>
      <c r="G49" t="n">
        <v>-0.8</v>
      </c>
      <c r="H49" t="n">
        <v>38.6</v>
      </c>
      <c r="I49" t="n">
        <v>74.40000000000001</v>
      </c>
      <c r="J49" t="n">
        <v>33.3</v>
      </c>
      <c r="K49" t="n">
        <v>2720</v>
      </c>
      <c r="L49" t="n">
        <v>153467</v>
      </c>
      <c r="M49" t="n">
        <v>4.1743024</v>
      </c>
      <c r="N49" t="n">
        <v>363669.65</v>
      </c>
      <c r="O49" t="n">
        <v>0.42199562157579</v>
      </c>
      <c r="P49" t="n">
        <v>2.750232842211192</v>
      </c>
      <c r="Q49" t="n">
        <v>30.15839501297305</v>
      </c>
      <c r="R49" t="n">
        <v>26.92737684565948</v>
      </c>
      <c r="S49" t="n">
        <v>3.2</v>
      </c>
      <c r="T49" t="n">
        <v>0.7407407407407307</v>
      </c>
      <c r="U49" t="n">
        <v>-25.78444747612551</v>
      </c>
      <c r="V49" t="n">
        <v>2820</v>
      </c>
      <c r="W49" t="n">
        <v>3052.25</v>
      </c>
      <c r="X49" t="n">
        <v>3405.166666666667</v>
      </c>
      <c r="Y49" t="n">
        <v>0</v>
      </c>
      <c r="Z49" t="n">
        <v>0</v>
      </c>
      <c r="AA49" t="n">
        <v>0</v>
      </c>
      <c r="AB49" t="n">
        <v>1238.887021738294</v>
      </c>
      <c r="AC49" t="n">
        <v>43.9</v>
      </c>
      <c r="AD49" t="n">
        <v>75</v>
      </c>
      <c r="AE49" t="n">
        <v>44.4</v>
      </c>
      <c r="AF49" t="n">
        <v>59.6</v>
      </c>
      <c r="AG49" t="inlineStr">
        <is>
          <t>C</t>
        </is>
      </c>
    </row>
    <row r="50">
      <c r="A50" t="inlineStr">
        <is>
          <t>A444530</t>
        </is>
      </c>
      <c r="B50" t="inlineStr">
        <is>
          <t>심플랫폼</t>
        </is>
      </c>
      <c r="C50" t="inlineStr"/>
      <c r="D50" t="inlineStr"/>
      <c r="E50" t="n">
        <v>-0</v>
      </c>
      <c r="F50" t="n">
        <v>-12.6</v>
      </c>
      <c r="G50" t="n">
        <v>2.8</v>
      </c>
      <c r="H50" t="n">
        <v>-2.1</v>
      </c>
      <c r="I50" t="n">
        <v>-38</v>
      </c>
      <c r="J50" t="n">
        <v>-149.4</v>
      </c>
      <c r="K50" t="n">
        <v>8550</v>
      </c>
      <c r="L50" t="n">
        <v>27456</v>
      </c>
      <c r="M50" t="n">
        <v>2.347488</v>
      </c>
      <c r="N50" t="n">
        <v>77496.45</v>
      </c>
      <c r="O50" t="n">
        <v>0.3542871963812536</v>
      </c>
      <c r="P50" t="n">
        <v>4.105684500774139</v>
      </c>
      <c r="Q50" t="n">
        <v>37.18622105075327</v>
      </c>
      <c r="R50" t="n">
        <v>20.91719637539147</v>
      </c>
      <c r="S50" t="n">
        <v>16.3</v>
      </c>
      <c r="T50" t="n">
        <v>-1.270207852193994</v>
      </c>
      <c r="U50" t="n">
        <v>-17.15116279069768</v>
      </c>
      <c r="V50" t="n">
        <v>10040</v>
      </c>
      <c r="W50" t="n">
        <v>10098</v>
      </c>
      <c r="X50" t="n">
        <v>8557.666666666666</v>
      </c>
      <c r="Y50" t="n">
        <v>0</v>
      </c>
      <c r="Z50" t="n">
        <v>0</v>
      </c>
      <c r="AA50" t="n">
        <v>0</v>
      </c>
      <c r="AB50" t="n">
        <v>3132.891047545301</v>
      </c>
      <c r="AC50" t="n">
        <v>46.9</v>
      </c>
      <c r="AD50" t="n">
        <v>41.1</v>
      </c>
      <c r="AE50" t="n">
        <v>33.3</v>
      </c>
      <c r="AF50" t="n">
        <v>41.3</v>
      </c>
      <c r="AG50" t="inlineStr">
        <is>
          <t>D</t>
        </is>
      </c>
    </row>
    <row r="51">
      <c r="A51" t="inlineStr">
        <is>
          <t>A098070</t>
        </is>
      </c>
      <c r="B51" t="inlineStr">
        <is>
          <t>한텍</t>
        </is>
      </c>
      <c r="C51" t="inlineStr"/>
      <c r="D51" t="inlineStr"/>
      <c r="E51" t="n">
        <v>-21.9</v>
      </c>
      <c r="F51" t="n">
        <v>-759.6</v>
      </c>
      <c r="G51" t="n">
        <v>-1190.2</v>
      </c>
      <c r="H51" t="n">
        <v>7.3</v>
      </c>
      <c r="I51" t="n">
        <v>156.4</v>
      </c>
      <c r="J51" t="n">
        <v>225.5</v>
      </c>
      <c r="K51" t="n">
        <v>36800</v>
      </c>
      <c r="L51" t="n">
        <v>112788</v>
      </c>
      <c r="M51" t="n">
        <v>41.505984</v>
      </c>
      <c r="N51" t="n">
        <v>105304.1</v>
      </c>
      <c r="O51" t="n">
        <v>1.071069407553932</v>
      </c>
      <c r="P51" t="n">
        <v>3.920548586204552</v>
      </c>
      <c r="Q51" t="n">
        <v>45.70089627437983</v>
      </c>
      <c r="R51" t="n">
        <v>35.07572127494295</v>
      </c>
      <c r="S51" t="n">
        <v>10.6</v>
      </c>
      <c r="T51" t="n">
        <v>9.361069836552737</v>
      </c>
      <c r="U51" t="n">
        <v>-20.26002166847237</v>
      </c>
      <c r="V51" t="n">
        <v>35540</v>
      </c>
      <c r="W51" t="n">
        <v>37627.5</v>
      </c>
      <c r="X51" t="n">
        <v>42726.66666666666</v>
      </c>
      <c r="Y51" t="n">
        <v>1</v>
      </c>
      <c r="Z51" t="n">
        <v>0</v>
      </c>
      <c r="AA51" t="n">
        <v>0</v>
      </c>
      <c r="AB51" t="n">
        <v>14878.805130294</v>
      </c>
      <c r="AC51" t="n">
        <v>87.59999999999999</v>
      </c>
      <c r="AD51" t="n">
        <v>39.7</v>
      </c>
      <c r="AE51" t="n">
        <v>91.90000000000001</v>
      </c>
      <c r="AF51" t="n">
        <v>64.5</v>
      </c>
      <c r="AG51" t="inlineStr">
        <is>
          <t>C</t>
        </is>
      </c>
    </row>
    <row r="52">
      <c r="A52" t="inlineStr">
        <is>
          <t>A484810</t>
        </is>
      </c>
      <c r="B52" t="inlineStr">
        <is>
          <t>티엑스알로보틱스</t>
        </is>
      </c>
      <c r="C52" t="inlineStr"/>
      <c r="D52" t="inlineStr"/>
      <c r="E52" t="n">
        <v>-2.7</v>
      </c>
      <c r="F52" t="n">
        <v>-24.1</v>
      </c>
      <c r="G52" t="n">
        <v>-53.1</v>
      </c>
      <c r="H52" t="n">
        <v>3.4</v>
      </c>
      <c r="I52" t="n">
        <v>-3.1</v>
      </c>
      <c r="J52" t="n">
        <v>-26.4</v>
      </c>
      <c r="K52" t="n">
        <v>14290</v>
      </c>
      <c r="L52" t="n">
        <v>31124</v>
      </c>
      <c r="M52" t="n">
        <v>4.4476196</v>
      </c>
      <c r="N52" t="n">
        <v>104146.5</v>
      </c>
      <c r="O52" t="n">
        <v>0.2988482570225596</v>
      </c>
      <c r="P52" t="n">
        <v>3.591910301434901</v>
      </c>
      <c r="Q52" t="n">
        <v>32.31791027644902</v>
      </c>
      <c r="R52" t="n">
        <v>13.03773595055184</v>
      </c>
      <c r="S52" t="n">
        <v>19.3</v>
      </c>
      <c r="T52" t="n">
        <v>0.5629838142153343</v>
      </c>
      <c r="U52" t="n">
        <v>-27.93746848209783</v>
      </c>
      <c r="V52" t="n">
        <v>15235</v>
      </c>
      <c r="W52" t="n">
        <v>16518.5</v>
      </c>
      <c r="X52" t="n">
        <v>16473</v>
      </c>
      <c r="Y52" t="n">
        <v>0</v>
      </c>
      <c r="Z52" t="n">
        <v>0</v>
      </c>
      <c r="AA52" t="n">
        <v>0</v>
      </c>
      <c r="AB52" t="n">
        <v>6729.145093116249</v>
      </c>
      <c r="AC52" t="n">
        <v>42.7</v>
      </c>
      <c r="AD52" t="n">
        <v>40</v>
      </c>
      <c r="AE52" t="n">
        <v>23</v>
      </c>
      <c r="AF52" t="n">
        <v>37.4</v>
      </c>
      <c r="AG52" t="inlineStr">
        <is>
          <t>D</t>
        </is>
      </c>
    </row>
    <row r="53">
      <c r="A53" t="inlineStr">
        <is>
          <t>A480370</t>
        </is>
      </c>
      <c r="B53" t="inlineStr">
        <is>
          <t>씨케이솔루션</t>
        </is>
      </c>
      <c r="C53" t="inlineStr"/>
      <c r="D53" t="inlineStr"/>
      <c r="E53" t="n">
        <v>-0</v>
      </c>
      <c r="F53" t="n">
        <v>-0.2</v>
      </c>
      <c r="G53" t="n">
        <v>-6.7</v>
      </c>
      <c r="H53" t="n">
        <v>2</v>
      </c>
      <c r="I53" t="n">
        <v>-16.2</v>
      </c>
      <c r="J53" t="n">
        <v>-41.5</v>
      </c>
      <c r="K53" t="n">
        <v>1695</v>
      </c>
      <c r="L53" t="n">
        <v>83117</v>
      </c>
      <c r="M53" t="n">
        <v>1.40883315</v>
      </c>
      <c r="N53" t="n">
        <v>508554.25</v>
      </c>
      <c r="O53" t="n">
        <v>0.1634378239882962</v>
      </c>
      <c r="P53" t="n">
        <v>3.803006529090272</v>
      </c>
      <c r="Q53" t="n">
        <v>26.91091179220579</v>
      </c>
      <c r="R53" t="n">
        <v>45.20518668370926</v>
      </c>
      <c r="S53" t="n">
        <v>-18.3</v>
      </c>
      <c r="T53" t="n">
        <v>0.5338078291814874</v>
      </c>
      <c r="U53" t="n">
        <v>-34.04669260700389</v>
      </c>
      <c r="V53" t="n">
        <v>1889.2</v>
      </c>
      <c r="W53" t="n">
        <v>2175.35</v>
      </c>
      <c r="X53" t="n">
        <v>2311.766666666667</v>
      </c>
      <c r="Y53" t="n">
        <v>0</v>
      </c>
      <c r="Z53" t="n">
        <v>0</v>
      </c>
      <c r="AA53" t="n">
        <v>0</v>
      </c>
      <c r="AB53" t="n">
        <v>1350.251298248238</v>
      </c>
      <c r="AC53" t="n">
        <v>31.2</v>
      </c>
      <c r="AD53" t="n">
        <v>46.5</v>
      </c>
      <c r="AE53" t="n">
        <v>8.1</v>
      </c>
      <c r="AF53" t="n">
        <v>34.2</v>
      </c>
      <c r="AG53" t="inlineStr">
        <is>
          <t>D</t>
        </is>
      </c>
    </row>
    <row r="54">
      <c r="A54" t="inlineStr">
        <is>
          <t>A031210</t>
        </is>
      </c>
      <c r="B54" t="inlineStr">
        <is>
          <t>서울보증보험</t>
        </is>
      </c>
      <c r="C54" t="inlineStr"/>
      <c r="D54" t="inlineStr"/>
      <c r="E54" t="n">
        <v>-121.3</v>
      </c>
      <c r="F54" t="n">
        <v>-710.5</v>
      </c>
      <c r="G54" t="n">
        <v>-1733.3</v>
      </c>
      <c r="H54" t="n">
        <v>164.1</v>
      </c>
      <c r="I54" t="n">
        <v>396.6</v>
      </c>
      <c r="J54" t="n">
        <v>563.7</v>
      </c>
      <c r="K54" t="n">
        <v>43450</v>
      </c>
      <c r="L54" t="n">
        <v>50107</v>
      </c>
      <c r="M54" t="n">
        <v>21.7714915</v>
      </c>
      <c r="N54" t="n">
        <v>84143.55</v>
      </c>
      <c r="O54" t="n">
        <v>0.5954942476280118</v>
      </c>
      <c r="P54" t="n">
        <v>2.289746073156413</v>
      </c>
      <c r="Q54" t="n">
        <v>37.13082853547521</v>
      </c>
      <c r="R54" t="n">
        <v>28.81926323399954</v>
      </c>
      <c r="S54" t="n">
        <v>8.300000000000001</v>
      </c>
      <c r="T54" t="n">
        <v>0.3464203233256358</v>
      </c>
      <c r="U54" t="n">
        <v>-7.84729586426299</v>
      </c>
      <c r="V54" t="n">
        <v>44415</v>
      </c>
      <c r="W54" t="n">
        <v>45145</v>
      </c>
      <c r="X54" t="n">
        <v>49424.16666666666</v>
      </c>
      <c r="Y54" t="n">
        <v>0</v>
      </c>
      <c r="Z54" t="n">
        <v>0</v>
      </c>
      <c r="AA54" t="n">
        <v>0</v>
      </c>
      <c r="AB54" t="n">
        <v>5308.939828747403</v>
      </c>
      <c r="AC54" t="n">
        <v>57.7</v>
      </c>
      <c r="AD54" t="n">
        <v>49.1</v>
      </c>
      <c r="AE54" t="n">
        <v>63.7</v>
      </c>
      <c r="AF54" t="n">
        <v>54.6</v>
      </c>
      <c r="AG54" t="inlineStr">
        <is>
          <t>C</t>
        </is>
      </c>
    </row>
    <row r="55">
      <c r="A55" t="inlineStr">
        <is>
          <t>A226590</t>
        </is>
      </c>
      <c r="B55" t="inlineStr">
        <is>
          <t>엠디바이스</t>
        </is>
      </c>
      <c r="C55" t="inlineStr"/>
      <c r="D55" t="inlineStr"/>
      <c r="E55" t="n">
        <v>-0.8</v>
      </c>
      <c r="F55" t="n">
        <v>16.1</v>
      </c>
      <c r="G55" t="n">
        <v>-563.4</v>
      </c>
      <c r="H55" t="n">
        <v>51.1</v>
      </c>
      <c r="I55" t="n">
        <v>325.1</v>
      </c>
      <c r="J55" t="n">
        <v>-29.7</v>
      </c>
      <c r="K55" t="n">
        <v>16220</v>
      </c>
      <c r="L55" t="n">
        <v>103388</v>
      </c>
      <c r="M55" t="n">
        <v>16.7695336</v>
      </c>
      <c r="N55" t="n">
        <v>313871.8</v>
      </c>
      <c r="O55" t="n">
        <v>0.3293956322294644</v>
      </c>
      <c r="P55" t="n">
        <v>6.30291575444754</v>
      </c>
      <c r="Q55" t="n">
        <v>29.84754636639502</v>
      </c>
      <c r="R55" t="n">
        <v>15.06251235716726</v>
      </c>
      <c r="S55" t="n">
        <v>14.8</v>
      </c>
      <c r="T55" t="n">
        <v>3.246339910884788</v>
      </c>
      <c r="U55" t="n">
        <v>-44.54700854700855</v>
      </c>
      <c r="V55" t="n">
        <v>19010</v>
      </c>
      <c r="W55" t="n">
        <v>21805</v>
      </c>
      <c r="X55" t="n">
        <v>25970.83333333333</v>
      </c>
      <c r="Y55" t="n">
        <v>0</v>
      </c>
      <c r="Z55" t="n">
        <v>0</v>
      </c>
      <c r="AA55" t="n">
        <v>0</v>
      </c>
      <c r="AB55" t="n">
        <v>15135.38343019258</v>
      </c>
      <c r="AC55" t="n">
        <v>34</v>
      </c>
      <c r="AD55" t="n">
        <v>63.1</v>
      </c>
      <c r="AE55" t="n">
        <v>28.9</v>
      </c>
      <c r="AF55" t="n">
        <v>47.5</v>
      </c>
      <c r="AG55" t="inlineStr">
        <is>
          <t>D</t>
        </is>
      </c>
    </row>
    <row r="56">
      <c r="A56" t="inlineStr">
        <is>
          <t>A393970</t>
        </is>
      </c>
      <c r="B56" t="inlineStr">
        <is>
          <t>대진첨단소재</t>
        </is>
      </c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2825</v>
      </c>
      <c r="L56" t="n">
        <v>0</v>
      </c>
      <c r="M56" t="inlineStr"/>
      <c r="N56" t="n">
        <v>0</v>
      </c>
      <c r="O56" t="inlineStr"/>
      <c r="P56" t="n">
        <v>0</v>
      </c>
      <c r="Q56" t="inlineStr"/>
      <c r="R56" t="inlineStr"/>
      <c r="S56" t="inlineStr"/>
      <c r="T56" t="n">
        <v>0</v>
      </c>
      <c r="U56" t="n">
        <v>0</v>
      </c>
      <c r="V56" t="n">
        <v>2825</v>
      </c>
      <c r="W56" t="n">
        <v>2825</v>
      </c>
      <c r="X56" t="n">
        <v>2825</v>
      </c>
      <c r="Y56" t="n">
        <v>0</v>
      </c>
      <c r="Z56" t="n">
        <v>0</v>
      </c>
      <c r="AA56" t="n">
        <v>0</v>
      </c>
      <c r="AB56" t="n">
        <v>0</v>
      </c>
      <c r="AC56" t="n">
        <v>52.7</v>
      </c>
      <c r="AD56" t="n">
        <v>54.4</v>
      </c>
      <c r="AE56" t="n">
        <v>50</v>
      </c>
      <c r="AF56" t="n">
        <v>53</v>
      </c>
      <c r="AG56" t="inlineStr">
        <is>
          <t>C</t>
        </is>
      </c>
    </row>
    <row r="57">
      <c r="A57" t="inlineStr">
        <is>
          <t>A489500</t>
        </is>
      </c>
      <c r="B57" t="inlineStr">
        <is>
          <t>엘케이켐</t>
        </is>
      </c>
      <c r="C57" t="inlineStr"/>
      <c r="D57" t="inlineStr"/>
      <c r="E57" t="n">
        <v>1.1</v>
      </c>
      <c r="F57" t="n">
        <v>19.8</v>
      </c>
      <c r="G57" t="n">
        <v>39.8</v>
      </c>
      <c r="H57" t="n">
        <v>8.800000000000001</v>
      </c>
      <c r="I57" t="n">
        <v>-0.3</v>
      </c>
      <c r="J57" t="n">
        <v>288.6</v>
      </c>
      <c r="K57" t="n">
        <v>28800</v>
      </c>
      <c r="L57" t="n">
        <v>41836</v>
      </c>
      <c r="M57" t="n">
        <v>12.048768</v>
      </c>
      <c r="N57" t="n">
        <v>122324.5</v>
      </c>
      <c r="O57" t="n">
        <v>0.3420083466517337</v>
      </c>
      <c r="P57" t="n">
        <v>4.989108692109308</v>
      </c>
      <c r="Q57" t="n">
        <v>37.84524360894386</v>
      </c>
      <c r="R57" t="n">
        <v>45.42201381965705</v>
      </c>
      <c r="S57" t="n">
        <v>-7.6</v>
      </c>
      <c r="T57" t="n">
        <v>-0.8605851979345935</v>
      </c>
      <c r="U57" t="n">
        <v>-18.06543385490754</v>
      </c>
      <c r="V57" t="n">
        <v>33715</v>
      </c>
      <c r="W57" t="n">
        <v>33217.5</v>
      </c>
      <c r="X57" t="n">
        <v>33662.5</v>
      </c>
      <c r="Y57" t="n">
        <v>0</v>
      </c>
      <c r="Z57" t="n">
        <v>0</v>
      </c>
      <c r="AA57" t="n">
        <v>0</v>
      </c>
      <c r="AB57" t="n">
        <v>12009.6934532945</v>
      </c>
      <c r="AC57" t="n">
        <v>49.2</v>
      </c>
      <c r="AD57" t="n">
        <v>71</v>
      </c>
      <c r="AE57" t="n">
        <v>29.6</v>
      </c>
      <c r="AF57" t="n">
        <v>56.2</v>
      </c>
      <c r="AG57" t="inlineStr">
        <is>
          <t>C</t>
        </is>
      </c>
    </row>
    <row r="58">
      <c r="A58" t="inlineStr">
        <is>
          <t>A479960</t>
        </is>
      </c>
      <c r="B58" t="inlineStr">
        <is>
          <t>위너스</t>
        </is>
      </c>
      <c r="C58" t="inlineStr"/>
      <c r="D58" t="inlineStr"/>
      <c r="E58" t="n">
        <v>0</v>
      </c>
      <c r="F58" t="n">
        <v>0</v>
      </c>
      <c r="G58" t="n">
        <v>2.3</v>
      </c>
      <c r="H58" t="n">
        <v>2.6</v>
      </c>
      <c r="I58" t="n">
        <v>1.1</v>
      </c>
      <c r="J58" t="n">
        <v>16.4</v>
      </c>
      <c r="K58" t="n">
        <v>7780</v>
      </c>
      <c r="L58" t="n">
        <v>16167</v>
      </c>
      <c r="M58" t="n">
        <v>1.2577926</v>
      </c>
      <c r="N58" t="n">
        <v>70197.55</v>
      </c>
      <c r="O58" t="n">
        <v>0.2303071830854496</v>
      </c>
      <c r="P58" t="n">
        <v>4.918350267144604</v>
      </c>
      <c r="Q58" t="n">
        <v>27.12031543758427</v>
      </c>
      <c r="R58" t="n">
        <v>7.03420309730529</v>
      </c>
      <c r="S58" t="n">
        <v>20.1</v>
      </c>
      <c r="T58" t="n">
        <v>1.170351105331591</v>
      </c>
      <c r="U58" t="n">
        <v>-43.82671480144404</v>
      </c>
      <c r="V58" t="n">
        <v>9017</v>
      </c>
      <c r="W58" t="n">
        <v>10223.5</v>
      </c>
      <c r="X58" t="n">
        <v>10271.5</v>
      </c>
      <c r="Y58" t="n">
        <v>0</v>
      </c>
      <c r="Z58" t="n">
        <v>0</v>
      </c>
      <c r="AA58" t="n">
        <v>0</v>
      </c>
      <c r="AB58" t="n">
        <v>6152.589869742916</v>
      </c>
      <c r="AC58" t="n">
        <v>27.7</v>
      </c>
      <c r="AD58" t="n">
        <v>58.4</v>
      </c>
      <c r="AE58" t="n">
        <v>11.9</v>
      </c>
      <c r="AF58" t="n">
        <v>39.9</v>
      </c>
      <c r="AG58" t="inlineStr">
        <is>
          <t>D</t>
        </is>
      </c>
    </row>
    <row r="59">
      <c r="A59" t="inlineStr">
        <is>
          <t>A463480</t>
        </is>
      </c>
      <c r="B59" t="inlineStr">
        <is>
          <t>모티브링크</t>
        </is>
      </c>
      <c r="C59" t="inlineStr"/>
      <c r="D59" t="inlineStr"/>
      <c r="E59" t="n">
        <v>0.1</v>
      </c>
      <c r="F59" t="n">
        <v>-0.1</v>
      </c>
      <c r="G59" t="n">
        <v>0.1</v>
      </c>
      <c r="H59" t="n">
        <v>3.7</v>
      </c>
      <c r="I59" t="n">
        <v>-19.9</v>
      </c>
      <c r="J59" t="n">
        <v>-53.8</v>
      </c>
      <c r="K59" t="n">
        <v>5600</v>
      </c>
      <c r="L59" t="n">
        <v>28513</v>
      </c>
      <c r="M59" t="n">
        <v>1.596728</v>
      </c>
      <c r="N59" t="n">
        <v>122790.25</v>
      </c>
      <c r="O59" t="n">
        <v>0.2322089905346719</v>
      </c>
      <c r="P59" t="n">
        <v>3.790318134053121</v>
      </c>
      <c r="Q59" t="n">
        <v>27.53458992296176</v>
      </c>
      <c r="R59" t="n">
        <v>7.618672023539116</v>
      </c>
      <c r="S59" t="n">
        <v>19.9</v>
      </c>
      <c r="T59" t="n">
        <v>2.003642987249554</v>
      </c>
      <c r="U59" t="n">
        <v>-38.46153846153847</v>
      </c>
      <c r="V59" t="n">
        <v>6297</v>
      </c>
      <c r="W59" t="n">
        <v>7091</v>
      </c>
      <c r="X59" t="n">
        <v>7350.833333333333</v>
      </c>
      <c r="Y59" t="n">
        <v>0</v>
      </c>
      <c r="Z59" t="n">
        <v>0</v>
      </c>
      <c r="AA59" t="n">
        <v>0</v>
      </c>
      <c r="AB59" t="n">
        <v>4002.018438106872</v>
      </c>
      <c r="AC59" t="n">
        <v>31.9</v>
      </c>
      <c r="AD59" t="n">
        <v>52</v>
      </c>
      <c r="AE59" t="n">
        <v>12.6</v>
      </c>
      <c r="AF59" t="n">
        <v>38.1</v>
      </c>
      <c r="AG59" t="inlineStr">
        <is>
          <t>D</t>
        </is>
      </c>
    </row>
    <row r="60">
      <c r="A60" t="inlineStr">
        <is>
          <t>A303810</t>
        </is>
      </c>
      <c r="B60" t="inlineStr">
        <is>
          <t>동국생명과학</t>
        </is>
      </c>
      <c r="C60" t="inlineStr"/>
      <c r="D60" t="inlineStr"/>
      <c r="E60" t="n">
        <v>-0</v>
      </c>
      <c r="F60" t="n">
        <v>-0</v>
      </c>
      <c r="G60" t="n">
        <v>-0.1</v>
      </c>
      <c r="H60" t="n">
        <v>-3.6</v>
      </c>
      <c r="I60" t="n">
        <v>-9.699999999999999</v>
      </c>
      <c r="J60" t="n">
        <v>-113.5</v>
      </c>
      <c r="K60" t="n">
        <v>2890</v>
      </c>
      <c r="L60" t="n">
        <v>63265</v>
      </c>
      <c r="M60" t="n">
        <v>1.8283585</v>
      </c>
      <c r="N60" t="n">
        <v>145464.65</v>
      </c>
      <c r="O60" t="n">
        <v>0.4349166618831448</v>
      </c>
      <c r="P60" t="n">
        <v>1.479459358659318</v>
      </c>
      <c r="Q60" t="n">
        <v>30.8148975332077</v>
      </c>
      <c r="R60" t="n">
        <v>14.16162118684129</v>
      </c>
      <c r="S60" t="n">
        <v>16.7</v>
      </c>
      <c r="T60" t="n">
        <v>0.8726003490401313</v>
      </c>
      <c r="U60" t="n">
        <v>-15.37335285505124</v>
      </c>
      <c r="V60" t="n">
        <v>2954</v>
      </c>
      <c r="W60" t="n">
        <v>3065.25</v>
      </c>
      <c r="X60" t="n">
        <v>3288.25</v>
      </c>
      <c r="Y60" t="n">
        <v>0</v>
      </c>
      <c r="Z60" t="n">
        <v>0</v>
      </c>
      <c r="AA60" t="n">
        <v>0</v>
      </c>
      <c r="AB60" t="n">
        <v>600.1219174380094</v>
      </c>
      <c r="AC60" t="n">
        <v>51.6</v>
      </c>
      <c r="AD60" t="n">
        <v>46.9</v>
      </c>
      <c r="AE60" t="n">
        <v>47.4</v>
      </c>
      <c r="AF60" t="n">
        <v>48.4</v>
      </c>
      <c r="AG60" t="inlineStr">
        <is>
          <t>D</t>
        </is>
      </c>
    </row>
    <row r="61">
      <c r="A61" t="inlineStr">
        <is>
          <t>A475830</t>
        </is>
      </c>
      <c r="B61" t="inlineStr">
        <is>
          <t>오름테라퓨틱</t>
        </is>
      </c>
      <c r="C61" t="inlineStr"/>
      <c r="D61" t="inlineStr"/>
      <c r="E61" t="n">
        <v>36.5</v>
      </c>
      <c r="F61" t="n">
        <v>-76.3</v>
      </c>
      <c r="G61" t="n">
        <v>-949.2</v>
      </c>
      <c r="H61" t="n">
        <v>222.4</v>
      </c>
      <c r="I61" t="n">
        <v>1149.7</v>
      </c>
      <c r="J61" t="n">
        <v>3960.9</v>
      </c>
      <c r="K61" t="n">
        <v>64100</v>
      </c>
      <c r="L61" t="n">
        <v>115638</v>
      </c>
      <c r="M61" t="n">
        <v>74.123958</v>
      </c>
      <c r="N61" t="n">
        <v>206970.5</v>
      </c>
      <c r="O61" t="n">
        <v>0.5587173051231938</v>
      </c>
      <c r="P61" t="n">
        <v>4.640935627479804</v>
      </c>
      <c r="Q61" t="n">
        <v>33.40098878100214</v>
      </c>
      <c r="R61" t="n">
        <v>18.73063733017192</v>
      </c>
      <c r="S61" t="n">
        <v>14.7</v>
      </c>
      <c r="T61" t="n">
        <v>0.6279434850863463</v>
      </c>
      <c r="U61" t="n">
        <v>-31.73588924387646</v>
      </c>
      <c r="V61" t="n">
        <v>68050</v>
      </c>
      <c r="W61" t="n">
        <v>73210</v>
      </c>
      <c r="X61" t="n">
        <v>89981.66666666667</v>
      </c>
      <c r="Y61" t="n">
        <v>0</v>
      </c>
      <c r="Z61" t="n">
        <v>0</v>
      </c>
      <c r="AA61" t="n">
        <v>0</v>
      </c>
      <c r="AB61" t="n">
        <v>32296.23409690525</v>
      </c>
      <c r="AC61" t="n">
        <v>40.1</v>
      </c>
      <c r="AD61" t="n">
        <v>72.40000000000001</v>
      </c>
      <c r="AE61" t="n">
        <v>59.3</v>
      </c>
      <c r="AF61" t="n">
        <v>60.1</v>
      </c>
      <c r="AG61" t="inlineStr">
        <is>
          <t>C</t>
        </is>
      </c>
    </row>
    <row r="62">
      <c r="A62" t="inlineStr">
        <is>
          <t>A240550</t>
        </is>
      </c>
      <c r="B62" t="inlineStr">
        <is>
          <t>동방메디컬</t>
        </is>
      </c>
      <c r="C62" t="inlineStr"/>
      <c r="D62" t="inlineStr"/>
      <c r="E62" t="n">
        <v>-8.1</v>
      </c>
      <c r="F62" t="n">
        <v>15.1</v>
      </c>
      <c r="G62" t="n">
        <v>297.5</v>
      </c>
      <c r="H62" t="n">
        <v>4.2</v>
      </c>
      <c r="I62" t="n">
        <v>-50</v>
      </c>
      <c r="J62" t="n">
        <v>-285.2</v>
      </c>
      <c r="K62" t="n">
        <v>6610</v>
      </c>
      <c r="L62" t="n">
        <v>105588</v>
      </c>
      <c r="M62" t="n">
        <v>6.9793668</v>
      </c>
      <c r="N62" t="n">
        <v>305676.75</v>
      </c>
      <c r="O62" t="n">
        <v>0.3454237196646457</v>
      </c>
      <c r="P62" t="n">
        <v>3.882661753972558</v>
      </c>
      <c r="Q62" t="n">
        <v>38.73833443083146</v>
      </c>
      <c r="R62" t="n">
        <v>24.90993425410972</v>
      </c>
      <c r="S62" t="n">
        <v>13.8</v>
      </c>
      <c r="T62" t="n">
        <v>2.321981424148611</v>
      </c>
      <c r="U62" t="n">
        <v>-4.202898550724638</v>
      </c>
      <c r="V62" t="n">
        <v>7254</v>
      </c>
      <c r="W62" t="n">
        <v>7324</v>
      </c>
      <c r="X62" t="n">
        <v>6975</v>
      </c>
      <c r="Y62" t="n">
        <v>0</v>
      </c>
      <c r="Z62" t="n">
        <v>0</v>
      </c>
      <c r="AA62" t="n">
        <v>0</v>
      </c>
      <c r="AB62" t="n">
        <v>2245.196978815937</v>
      </c>
      <c r="AC62" t="n">
        <v>66</v>
      </c>
      <c r="AD62" t="n">
        <v>46.2</v>
      </c>
      <c r="AE62" t="n">
        <v>31.1</v>
      </c>
      <c r="AF62" t="n">
        <v>49.1</v>
      </c>
      <c r="AG62" t="inlineStr">
        <is>
          <t>D</t>
        </is>
      </c>
    </row>
    <row r="63">
      <c r="A63" t="inlineStr">
        <is>
          <t>A212710</t>
        </is>
      </c>
      <c r="B63" t="inlineStr">
        <is>
          <t>아이에스티이</t>
        </is>
      </c>
      <c r="C63" t="inlineStr"/>
      <c r="D63" t="inlineStr"/>
      <c r="E63" t="n">
        <v>2.4</v>
      </c>
      <c r="F63" t="n">
        <v>-56.1</v>
      </c>
      <c r="G63" t="n">
        <v>-129.1</v>
      </c>
      <c r="H63" t="n">
        <v>30.1</v>
      </c>
      <c r="I63" t="n">
        <v>100.8</v>
      </c>
      <c r="J63" t="n">
        <v>724.7</v>
      </c>
      <c r="K63" t="n">
        <v>11510</v>
      </c>
      <c r="L63" t="n">
        <v>181127</v>
      </c>
      <c r="M63" t="n">
        <v>20.8477177</v>
      </c>
      <c r="N63" t="n">
        <v>446054.3</v>
      </c>
      <c r="O63" t="n">
        <v>0.4060649118279994</v>
      </c>
      <c r="P63" t="n">
        <v>6.305854089224749</v>
      </c>
      <c r="Q63" t="n">
        <v>54.35842724138814</v>
      </c>
      <c r="R63" t="n">
        <v>68.36338501978705</v>
      </c>
      <c r="S63" t="n">
        <v>-14</v>
      </c>
      <c r="T63" t="n">
        <v>5.985267034990782</v>
      </c>
      <c r="U63" t="n">
        <v>19.64656964656965</v>
      </c>
      <c r="V63" t="n">
        <v>11717</v>
      </c>
      <c r="W63" t="n">
        <v>11163</v>
      </c>
      <c r="X63" t="n">
        <v>9030.166666666666</v>
      </c>
      <c r="Y63" t="n">
        <v>0</v>
      </c>
      <c r="Z63" t="n">
        <v>1</v>
      </c>
      <c r="AA63" t="n">
        <v>1</v>
      </c>
      <c r="AB63" t="n">
        <v>4249.068752463048</v>
      </c>
      <c r="AC63" t="n">
        <v>76.8</v>
      </c>
      <c r="AD63" t="n">
        <v>64.3</v>
      </c>
      <c r="AE63" t="n">
        <v>42.2</v>
      </c>
      <c r="AF63" t="n">
        <v>63.6</v>
      </c>
      <c r="AG63" t="inlineStr">
        <is>
          <t>C</t>
        </is>
      </c>
    </row>
    <row r="64">
      <c r="A64" t="inlineStr">
        <is>
          <t>A064400</t>
        </is>
      </c>
      <c r="B64" t="inlineStr">
        <is>
          <t>LG씨엔에스</t>
        </is>
      </c>
      <c r="C64" t="inlineStr"/>
      <c r="D64" t="inlineStr"/>
      <c r="E64" t="n">
        <v>-1246.3</v>
      </c>
      <c r="F64" t="n">
        <v>2297.8</v>
      </c>
      <c r="G64" t="n">
        <v>11284</v>
      </c>
      <c r="H64" t="n">
        <v>-7420.8</v>
      </c>
      <c r="I64" t="n">
        <v>-15354.3</v>
      </c>
      <c r="J64" t="n">
        <v>-17299.3</v>
      </c>
      <c r="K64" t="n">
        <v>126400</v>
      </c>
      <c r="L64" t="n">
        <v>3325944</v>
      </c>
      <c r="M64" t="n">
        <v>4203.993216</v>
      </c>
      <c r="N64" t="n">
        <v>3921297.45</v>
      </c>
      <c r="O64" t="n">
        <v>0.8481743714698307</v>
      </c>
      <c r="P64" t="n">
        <v>9.069935663872611</v>
      </c>
      <c r="Q64" t="n">
        <v>68.98448802787466</v>
      </c>
      <c r="R64" t="n">
        <v>78.15032700887383</v>
      </c>
      <c r="S64" t="n">
        <v>-9.199999999999999</v>
      </c>
      <c r="T64" t="n">
        <v>-6.853352984524685</v>
      </c>
      <c r="U64" t="n">
        <v>91.80576631259484</v>
      </c>
      <c r="V64" t="n">
        <v>101930</v>
      </c>
      <c r="W64" t="n">
        <v>88540</v>
      </c>
      <c r="X64" t="n">
        <v>71996.66666666667</v>
      </c>
      <c r="Y64" t="n">
        <v>1</v>
      </c>
      <c r="Z64" t="n">
        <v>1</v>
      </c>
      <c r="AA64" t="n">
        <v>1</v>
      </c>
      <c r="AB64" t="n">
        <v>92024.19819064753</v>
      </c>
      <c r="AC64" t="n">
        <v>71.5</v>
      </c>
      <c r="AD64" t="n">
        <v>30.7</v>
      </c>
      <c r="AE64" t="n">
        <v>82.2</v>
      </c>
      <c r="AF64" t="n">
        <v>53.2</v>
      </c>
      <c r="AG64" t="inlineStr">
        <is>
          <t>C</t>
        </is>
      </c>
    </row>
    <row r="65">
      <c r="A65" t="inlineStr">
        <is>
          <t>A452450</t>
        </is>
      </c>
      <c r="B65" t="inlineStr">
        <is>
          <t>피아이이</t>
        </is>
      </c>
      <c r="C65" t="inlineStr"/>
      <c r="D65" t="inlineStr"/>
      <c r="E65" t="n">
        <v>-0.4</v>
      </c>
      <c r="F65" t="n">
        <v>0</v>
      </c>
      <c r="G65" t="n">
        <v>0.2</v>
      </c>
      <c r="H65" t="n">
        <v>13.2</v>
      </c>
      <c r="I65" t="n">
        <v>16.7</v>
      </c>
      <c r="J65" t="n">
        <v>-47.7</v>
      </c>
      <c r="K65" t="n">
        <v>5080</v>
      </c>
      <c r="L65" t="n">
        <v>149600</v>
      </c>
      <c r="M65" t="n">
        <v>7.59968</v>
      </c>
      <c r="N65" t="n">
        <v>999384.8</v>
      </c>
      <c r="O65" t="n">
        <v>0.1496920905741212</v>
      </c>
      <c r="P65" t="n">
        <v>4.613733299980209</v>
      </c>
      <c r="Q65" t="n">
        <v>34.82220241951215</v>
      </c>
      <c r="R65" t="n">
        <v>64.0689632746038</v>
      </c>
      <c r="S65" t="n">
        <v>-29.2</v>
      </c>
      <c r="T65" t="n">
        <v>1.195219123505975</v>
      </c>
      <c r="U65" t="n">
        <v>-26.58959537572254</v>
      </c>
      <c r="V65" t="n">
        <v>5508</v>
      </c>
      <c r="W65" t="n">
        <v>6069.5</v>
      </c>
      <c r="X65" t="n">
        <v>5895.5</v>
      </c>
      <c r="Y65" t="n">
        <v>0</v>
      </c>
      <c r="Z65" t="n">
        <v>0</v>
      </c>
      <c r="AA65" t="n">
        <v>0</v>
      </c>
      <c r="AB65" t="n">
        <v>3161.145029057805</v>
      </c>
      <c r="AC65" t="n">
        <v>48.3</v>
      </c>
      <c r="AD65" t="n">
        <v>57.1</v>
      </c>
      <c r="AE65" t="n">
        <v>5.2</v>
      </c>
      <c r="AF65" t="n">
        <v>44.1</v>
      </c>
      <c r="AG65" t="inlineStr">
        <is>
          <t>D</t>
        </is>
      </c>
    </row>
    <row r="66">
      <c r="A66" t="inlineStr">
        <is>
          <t>A462980</t>
        </is>
      </c>
      <c r="B66" t="inlineStr">
        <is>
          <t>아이지넷</t>
        </is>
      </c>
      <c r="C66" t="inlineStr"/>
      <c r="D66" t="inlineStr"/>
      <c r="E66" t="n">
        <v>-1</v>
      </c>
      <c r="F66" t="n">
        <v>0.4</v>
      </c>
      <c r="G66" t="n">
        <v>5.7</v>
      </c>
      <c r="H66" t="n">
        <v>-32.1</v>
      </c>
      <c r="I66" t="n">
        <v>-50.8</v>
      </c>
      <c r="J66" t="n">
        <v>-116.8</v>
      </c>
      <c r="K66" t="n">
        <v>1421</v>
      </c>
      <c r="L66" t="n">
        <v>316336</v>
      </c>
      <c r="M66" t="n">
        <v>4.49513456</v>
      </c>
      <c r="N66" t="n">
        <v>271172.65</v>
      </c>
      <c r="O66" t="n">
        <v>1.166548322627669</v>
      </c>
      <c r="P66" t="n">
        <v>3.322086269512235</v>
      </c>
      <c r="Q66" t="n">
        <v>23.88891122611146</v>
      </c>
      <c r="R66" t="n">
        <v>17.14578003629549</v>
      </c>
      <c r="S66" t="n">
        <v>6.7</v>
      </c>
      <c r="T66" t="n">
        <v>-10.17699115044248</v>
      </c>
      <c r="U66" t="n">
        <v>-37.12389380530973</v>
      </c>
      <c r="V66" t="n">
        <v>1610.6</v>
      </c>
      <c r="W66" t="n">
        <v>1828.9</v>
      </c>
      <c r="X66" t="n">
        <v>2169.8</v>
      </c>
      <c r="Y66" t="n">
        <v>0</v>
      </c>
      <c r="Z66" t="n">
        <v>0</v>
      </c>
      <c r="AA66" t="n">
        <v>0</v>
      </c>
      <c r="AB66" t="n">
        <v>1040.681477130304</v>
      </c>
      <c r="AC66" t="n">
        <v>7.2</v>
      </c>
      <c r="AD66" t="n">
        <v>40.5</v>
      </c>
      <c r="AE66" t="n">
        <v>93.3</v>
      </c>
      <c r="AF66" t="n">
        <v>41.1</v>
      </c>
      <c r="AG66" t="inlineStr">
        <is>
          <t>D</t>
        </is>
      </c>
    </row>
    <row r="67">
      <c r="A67" t="inlineStr">
        <is>
          <t>A482630</t>
        </is>
      </c>
      <c r="B67" t="inlineStr">
        <is>
          <t>삼양엔씨켐</t>
        </is>
      </c>
      <c r="C67" t="inlineStr"/>
      <c r="D67" t="inlineStr"/>
      <c r="E67" t="n">
        <v>6.5</v>
      </c>
      <c r="F67" t="n">
        <v>-76.3</v>
      </c>
      <c r="G67" t="n">
        <v>-454</v>
      </c>
      <c r="H67" t="n">
        <v>12.8</v>
      </c>
      <c r="I67" t="n">
        <v>-355.5</v>
      </c>
      <c r="J67" t="n">
        <v>369.6</v>
      </c>
      <c r="K67" t="n">
        <v>15710</v>
      </c>
      <c r="L67" t="n">
        <v>414417</v>
      </c>
      <c r="M67" t="n">
        <v>65.1049107</v>
      </c>
      <c r="N67" t="n">
        <v>556210.95</v>
      </c>
      <c r="O67" t="n">
        <v>0.7450716315455495</v>
      </c>
      <c r="P67" t="n">
        <v>6.043884667531189</v>
      </c>
      <c r="Q67" t="n">
        <v>37.28672051478913</v>
      </c>
      <c r="R67" t="n">
        <v>28.70954174001226</v>
      </c>
      <c r="S67" t="n">
        <v>8.6</v>
      </c>
      <c r="T67" t="n">
        <v>6.148648648648658</v>
      </c>
      <c r="U67" t="n">
        <v>-20.33468559837728</v>
      </c>
      <c r="V67" t="n">
        <v>18330</v>
      </c>
      <c r="W67" t="n">
        <v>19058</v>
      </c>
      <c r="X67" t="n">
        <v>18347</v>
      </c>
      <c r="Y67" t="n">
        <v>0</v>
      </c>
      <c r="Z67" t="n">
        <v>0</v>
      </c>
      <c r="AA67" t="n">
        <v>0</v>
      </c>
      <c r="AB67" t="n">
        <v>9514.970807820915</v>
      </c>
      <c r="AC67" t="n">
        <v>63.4</v>
      </c>
      <c r="AD67" t="n">
        <v>45.8</v>
      </c>
      <c r="AE67" t="n">
        <v>75.59999999999999</v>
      </c>
      <c r="AF67" t="n">
        <v>57</v>
      </c>
      <c r="AG67" t="inlineStr">
        <is>
          <t>C</t>
        </is>
      </c>
    </row>
    <row r="68">
      <c r="A68" t="inlineStr">
        <is>
          <t>A096250</t>
        </is>
      </c>
      <c r="B68" t="inlineStr">
        <is>
          <t>와이즈넛</t>
        </is>
      </c>
      <c r="C68" t="inlineStr"/>
      <c r="D68" t="inlineStr"/>
      <c r="E68" t="n">
        <v>-4.1</v>
      </c>
      <c r="F68" t="n">
        <v>-45.5</v>
      </c>
      <c r="G68" t="n">
        <v>-67.8</v>
      </c>
      <c r="H68" t="n">
        <v>15.4</v>
      </c>
      <c r="I68" t="n">
        <v>3.3</v>
      </c>
      <c r="J68" t="n">
        <v>-42.4</v>
      </c>
      <c r="K68" t="n">
        <v>7890</v>
      </c>
      <c r="L68" t="n">
        <v>63814</v>
      </c>
      <c r="M68" t="n">
        <v>5.0349246</v>
      </c>
      <c r="N68" t="n">
        <v>69432.10000000001</v>
      </c>
      <c r="O68" t="n">
        <v>0.9190849765454306</v>
      </c>
      <c r="P68" t="n">
        <v>2.860164487758514</v>
      </c>
      <c r="Q68" t="n">
        <v>29.41620506392772</v>
      </c>
      <c r="R68" t="n">
        <v>13.11065535473562</v>
      </c>
      <c r="S68" t="n">
        <v>16.3</v>
      </c>
      <c r="T68" t="n">
        <v>3.27225130890052</v>
      </c>
      <c r="U68" t="n">
        <v>-28.79061371841155</v>
      </c>
      <c r="V68" t="n">
        <v>8421</v>
      </c>
      <c r="W68" t="n">
        <v>9047</v>
      </c>
      <c r="X68" t="n">
        <v>10057.66666666667</v>
      </c>
      <c r="Y68" t="n">
        <v>0</v>
      </c>
      <c r="Z68" t="n">
        <v>0</v>
      </c>
      <c r="AA68" t="n">
        <v>0</v>
      </c>
      <c r="AB68" t="n">
        <v>3237.519518331735</v>
      </c>
      <c r="AC68" t="n">
        <v>46.2</v>
      </c>
      <c r="AD68" t="n">
        <v>42</v>
      </c>
      <c r="AE68" t="n">
        <v>85.90000000000001</v>
      </c>
      <c r="AF68" t="n">
        <v>52</v>
      </c>
      <c r="AG68" t="inlineStr">
        <is>
          <t>C</t>
        </is>
      </c>
    </row>
    <row r="69">
      <c r="A69" t="inlineStr">
        <is>
          <t>A450950</t>
        </is>
      </c>
      <c r="B69" t="inlineStr">
        <is>
          <t>아스테라시스</t>
        </is>
      </c>
      <c r="C69" t="inlineStr"/>
      <c r="D69" t="inlineStr"/>
      <c r="E69" t="n">
        <v>0.8</v>
      </c>
      <c r="F69" t="n">
        <v>3</v>
      </c>
      <c r="G69" t="n">
        <v>27.4</v>
      </c>
      <c r="H69" t="n">
        <v>18.8</v>
      </c>
      <c r="I69" t="n">
        <v>25.7</v>
      </c>
      <c r="J69" t="n">
        <v>63.2</v>
      </c>
      <c r="K69" t="n">
        <v>8090</v>
      </c>
      <c r="L69" t="n">
        <v>50738</v>
      </c>
      <c r="M69" t="n">
        <v>4.1047042</v>
      </c>
      <c r="N69" t="n">
        <v>62348</v>
      </c>
      <c r="O69" t="n">
        <v>0.8137871303008918</v>
      </c>
      <c r="P69" t="n">
        <v>2.59155393362178</v>
      </c>
      <c r="Q69" t="n">
        <v>23.74134848716414</v>
      </c>
      <c r="R69" t="n">
        <v>13.38116958472538</v>
      </c>
      <c r="S69" t="n">
        <v>10.4</v>
      </c>
      <c r="T69" t="n">
        <v>-0.3694581280788145</v>
      </c>
      <c r="U69" t="n">
        <v>-29.34497816593886</v>
      </c>
      <c r="V69" t="n">
        <v>8868</v>
      </c>
      <c r="W69" t="n">
        <v>9611.5</v>
      </c>
      <c r="X69" t="n">
        <v>10765.83333333333</v>
      </c>
      <c r="Y69" t="n">
        <v>0</v>
      </c>
      <c r="Z69" t="n">
        <v>0</v>
      </c>
      <c r="AA69" t="n">
        <v>0</v>
      </c>
      <c r="AB69" t="n">
        <v>3820.725199832024</v>
      </c>
      <c r="AC69" t="n">
        <v>28.8</v>
      </c>
      <c r="AD69" t="n">
        <v>74.59999999999999</v>
      </c>
      <c r="AE69" t="n">
        <v>80</v>
      </c>
      <c r="AF69" t="n">
        <v>61.9</v>
      </c>
      <c r="AG69" t="inlineStr">
        <is>
          <t>C</t>
        </is>
      </c>
    </row>
    <row r="70">
      <c r="A70" t="inlineStr">
        <is>
          <t>A373160</t>
        </is>
      </c>
      <c r="B70" t="inlineStr">
        <is>
          <t>데이원컴퍼니</t>
        </is>
      </c>
      <c r="C70" t="inlineStr"/>
      <c r="D70" t="inlineStr"/>
      <c r="E70" t="n">
        <v>3.1</v>
      </c>
      <c r="F70" t="n">
        <v>13.1</v>
      </c>
      <c r="G70" t="n">
        <v>59.7</v>
      </c>
      <c r="H70" t="n">
        <v>2.2</v>
      </c>
      <c r="I70" t="n">
        <v>-2.9</v>
      </c>
      <c r="J70" t="n">
        <v>-12</v>
      </c>
      <c r="K70" t="n">
        <v>3800</v>
      </c>
      <c r="L70" t="n">
        <v>12055</v>
      </c>
      <c r="M70" t="n">
        <v>0.45809</v>
      </c>
      <c r="N70" t="n">
        <v>31716.2</v>
      </c>
      <c r="O70" t="n">
        <v>0.3800896702631463</v>
      </c>
      <c r="P70" t="n">
        <v>4.031244654452514</v>
      </c>
      <c r="Q70" t="n">
        <v>32.81447344873337</v>
      </c>
      <c r="R70" t="n">
        <v>19.11910030208908</v>
      </c>
      <c r="S70" t="n">
        <v>13.7</v>
      </c>
      <c r="T70" t="n">
        <v>-1.170351105331602</v>
      </c>
      <c r="U70" t="n">
        <v>-22.76422764227642</v>
      </c>
      <c r="V70" t="n">
        <v>4175</v>
      </c>
      <c r="W70" t="n">
        <v>4401.5</v>
      </c>
      <c r="X70" t="n">
        <v>4632.333333333333</v>
      </c>
      <c r="Y70" t="n">
        <v>0</v>
      </c>
      <c r="Z70" t="n">
        <v>0</v>
      </c>
      <c r="AA70" t="n">
        <v>0</v>
      </c>
      <c r="AB70" t="n">
        <v>1398.933428309619</v>
      </c>
      <c r="AC70" t="n">
        <v>38.8</v>
      </c>
      <c r="AD70" t="n">
        <v>64.2</v>
      </c>
      <c r="AE70" t="n">
        <v>37.8</v>
      </c>
      <c r="AF70" t="n">
        <v>51.3</v>
      </c>
      <c r="AG70" t="inlineStr">
        <is>
          <t>C</t>
        </is>
      </c>
    </row>
    <row r="71">
      <c r="A71" t="inlineStr">
        <is>
          <t>A475460</t>
        </is>
      </c>
      <c r="B71" t="inlineStr">
        <is>
          <t>미트박스</t>
        </is>
      </c>
      <c r="C71" t="inlineStr"/>
      <c r="D71" t="inlineStr"/>
      <c r="E71" t="n">
        <v>0</v>
      </c>
      <c r="F71" t="n">
        <v>-0</v>
      </c>
      <c r="G71" t="n">
        <v>-0.2</v>
      </c>
      <c r="H71" t="n">
        <v>2.2</v>
      </c>
      <c r="I71" t="n">
        <v>-9.199999999999999</v>
      </c>
      <c r="J71" t="n">
        <v>-39.5</v>
      </c>
      <c r="K71" t="n">
        <v>6480</v>
      </c>
      <c r="L71" t="n">
        <v>11482</v>
      </c>
      <c r="M71" t="n">
        <v>0.7440336</v>
      </c>
      <c r="N71" t="n">
        <v>22296.7</v>
      </c>
      <c r="O71" t="n">
        <v>0.5149640978261357</v>
      </c>
      <c r="P71" t="n">
        <v>2.153725600782479</v>
      </c>
      <c r="Q71" t="n">
        <v>24.34348986167337</v>
      </c>
      <c r="R71" t="n">
        <v>14.02067848118807</v>
      </c>
      <c r="S71" t="n">
        <v>10.3</v>
      </c>
      <c r="T71" t="n">
        <v>0.1545595054095905</v>
      </c>
      <c r="U71" t="n">
        <v>-21.64449818621524</v>
      </c>
      <c r="V71" t="n">
        <v>7179</v>
      </c>
      <c r="W71" t="n">
        <v>7605.5</v>
      </c>
      <c r="X71" t="n">
        <v>7805.166666666667</v>
      </c>
      <c r="Y71" t="n">
        <v>0</v>
      </c>
      <c r="Z71" t="n">
        <v>0</v>
      </c>
      <c r="AA71" t="n">
        <v>0</v>
      </c>
      <c r="AB71" t="n">
        <v>2373.413264965836</v>
      </c>
      <c r="AC71" t="n">
        <v>38.5</v>
      </c>
      <c r="AD71" t="n">
        <v>51.5</v>
      </c>
      <c r="AE71" t="n">
        <v>54.1</v>
      </c>
      <c r="AF71" t="n">
        <v>48.1</v>
      </c>
      <c r="AG71" t="inlineStr">
        <is>
          <t>D</t>
        </is>
      </c>
    </row>
    <row r="72">
      <c r="A72" t="inlineStr">
        <is>
          <t>A387570</t>
        </is>
      </c>
      <c r="B72" t="inlineStr">
        <is>
          <t>파인메딕스</t>
        </is>
      </c>
      <c r="C72" t="inlineStr"/>
      <c r="D72" t="inlineStr"/>
      <c r="E72" t="n">
        <v>0</v>
      </c>
      <c r="F72" t="n">
        <v>-0</v>
      </c>
      <c r="G72" t="n">
        <v>-0</v>
      </c>
      <c r="H72" t="n">
        <v>1.5</v>
      </c>
      <c r="I72" t="n">
        <v>0.2</v>
      </c>
      <c r="J72" t="n">
        <v>-16.6</v>
      </c>
      <c r="K72" t="n">
        <v>6130</v>
      </c>
      <c r="L72" t="n">
        <v>5265</v>
      </c>
      <c r="M72" t="n">
        <v>0.3227445</v>
      </c>
      <c r="N72" t="n">
        <v>15371.25</v>
      </c>
      <c r="O72" t="n">
        <v>0.3425225664796292</v>
      </c>
      <c r="P72" t="n">
        <v>3.731772184490509</v>
      </c>
      <c r="Q72" t="n">
        <v>33.28579560675875</v>
      </c>
      <c r="R72" t="n">
        <v>19.72114617069118</v>
      </c>
      <c r="S72" t="n">
        <v>13.6</v>
      </c>
      <c r="T72" t="n">
        <v>0.4918032786885185</v>
      </c>
      <c r="U72" t="n">
        <v>-19.97389033942559</v>
      </c>
      <c r="V72" t="n">
        <v>6634</v>
      </c>
      <c r="W72" t="n">
        <v>6902</v>
      </c>
      <c r="X72" t="n">
        <v>6912.833333333333</v>
      </c>
      <c r="Y72" t="n">
        <v>0</v>
      </c>
      <c r="Z72" t="n">
        <v>0</v>
      </c>
      <c r="AA72" t="n">
        <v>0</v>
      </c>
      <c r="AB72" t="n">
        <v>1664.064776067136</v>
      </c>
      <c r="AC72" t="n">
        <v>49.5</v>
      </c>
      <c r="AD72" t="n">
        <v>54.7</v>
      </c>
      <c r="AE72" t="n">
        <v>30.4</v>
      </c>
      <c r="AF72" t="n">
        <v>48.3</v>
      </c>
      <c r="AG72" t="inlineStr">
        <is>
          <t>D</t>
        </is>
      </c>
    </row>
    <row r="73">
      <c r="A73" t="inlineStr">
        <is>
          <t>A177900</t>
        </is>
      </c>
      <c r="B73" t="inlineStr">
        <is>
          <t>쓰리에이로직스</t>
        </is>
      </c>
      <c r="C73" t="inlineStr"/>
      <c r="D73" t="inlineStr"/>
      <c r="E73" t="n">
        <v>-2.2</v>
      </c>
      <c r="F73" t="n">
        <v>-2.2</v>
      </c>
      <c r="G73" t="n">
        <v>-2.4</v>
      </c>
      <c r="H73" t="n">
        <v>-4.8</v>
      </c>
      <c r="I73" t="n">
        <v>-35.8</v>
      </c>
      <c r="J73" t="n">
        <v>0.8</v>
      </c>
      <c r="K73" t="n">
        <v>5680</v>
      </c>
      <c r="L73" t="n">
        <v>136726</v>
      </c>
      <c r="M73" t="n">
        <v>7.7660368</v>
      </c>
      <c r="N73" t="n">
        <v>162325.55</v>
      </c>
      <c r="O73" t="n">
        <v>0.8422950053149366</v>
      </c>
      <c r="P73" t="n">
        <v>4.60903842696252</v>
      </c>
      <c r="Q73" t="n">
        <v>35.48276619410613</v>
      </c>
      <c r="R73" t="n">
        <v>47.20403817677255</v>
      </c>
      <c r="S73" t="n">
        <v>-11.7</v>
      </c>
      <c r="T73" t="n">
        <v>0.1763668430335041</v>
      </c>
      <c r="U73" t="n">
        <v>-23.86058981233244</v>
      </c>
      <c r="V73" t="n">
        <v>6122</v>
      </c>
      <c r="W73" t="n">
        <v>6591</v>
      </c>
      <c r="X73" t="n">
        <v>6476.666666666667</v>
      </c>
      <c r="Y73" t="n">
        <v>0</v>
      </c>
      <c r="Z73" t="n">
        <v>0</v>
      </c>
      <c r="AA73" t="n">
        <v>0</v>
      </c>
      <c r="AB73" t="n">
        <v>2514.828444499381</v>
      </c>
      <c r="AC73" t="n">
        <v>47.3</v>
      </c>
      <c r="AD73" t="n">
        <v>39.6</v>
      </c>
      <c r="AE73" t="n">
        <v>81.5</v>
      </c>
      <c r="AF73" t="n">
        <v>50.3</v>
      </c>
      <c r="AG73" t="inlineStr">
        <is>
          <t>C</t>
        </is>
      </c>
    </row>
    <row r="74">
      <c r="A74" t="inlineStr">
        <is>
          <t>A176750</t>
        </is>
      </c>
      <c r="B74" t="inlineStr">
        <is>
          <t>듀켐바이오</t>
        </is>
      </c>
      <c r="C74" t="inlineStr"/>
      <c r="D74" t="inlineStr"/>
      <c r="E74" t="n">
        <v>-2.4</v>
      </c>
      <c r="F74" t="n">
        <v>-2.4</v>
      </c>
      <c r="G74" t="n">
        <v>-8.1</v>
      </c>
      <c r="H74" t="n">
        <v>4</v>
      </c>
      <c r="I74" t="n">
        <v>9.4</v>
      </c>
      <c r="J74" t="n">
        <v>-21</v>
      </c>
      <c r="K74" t="n">
        <v>6320</v>
      </c>
      <c r="L74" t="n">
        <v>8196</v>
      </c>
      <c r="M74" t="n">
        <v>0.5179872</v>
      </c>
      <c r="N74" t="n">
        <v>41741.75</v>
      </c>
      <c r="O74" t="n">
        <v>0.1963501769810801</v>
      </c>
      <c r="P74" t="n">
        <v>2.882512775693636</v>
      </c>
      <c r="Q74" t="n">
        <v>17.80529847355213</v>
      </c>
      <c r="R74" t="n">
        <v>13.14441170135736</v>
      </c>
      <c r="S74" t="n">
        <v>4.7</v>
      </c>
      <c r="T74" t="n">
        <v>-0.9404388714733591</v>
      </c>
      <c r="U74" t="n">
        <v>-29.54292084726867</v>
      </c>
      <c r="V74" t="n">
        <v>7139</v>
      </c>
      <c r="W74" t="n">
        <v>7902</v>
      </c>
      <c r="X74" t="n">
        <v>8779.833333333334</v>
      </c>
      <c r="Y74" t="n">
        <v>0</v>
      </c>
      <c r="Z74" t="n">
        <v>0</v>
      </c>
      <c r="AA74" t="n">
        <v>0</v>
      </c>
      <c r="AB74" t="n">
        <v>3783.834868990649</v>
      </c>
      <c r="AC74" t="n">
        <v>24.3</v>
      </c>
      <c r="AD74" t="n">
        <v>47.4</v>
      </c>
      <c r="AE74" t="n">
        <v>9.6</v>
      </c>
      <c r="AF74" t="n">
        <v>32.9</v>
      </c>
      <c r="AG74" t="inlineStr">
        <is>
          <t>D</t>
        </is>
      </c>
    </row>
    <row r="75">
      <c r="A75" t="inlineStr">
        <is>
          <t>A476060</t>
        </is>
      </c>
      <c r="B75" t="inlineStr">
        <is>
          <t>온코닉테라퓨틱스</t>
        </is>
      </c>
      <c r="C75" t="inlineStr"/>
      <c r="D75" t="inlineStr"/>
      <c r="E75" t="n">
        <v>-4.9</v>
      </c>
      <c r="F75" t="n">
        <v>-175.2</v>
      </c>
      <c r="G75" t="n">
        <v>68.90000000000001</v>
      </c>
      <c r="H75" t="n">
        <v>27.1</v>
      </c>
      <c r="I75" t="n">
        <v>-70.5</v>
      </c>
      <c r="J75" t="n">
        <v>-1142.4</v>
      </c>
      <c r="K75" t="n">
        <v>16670</v>
      </c>
      <c r="L75" t="n">
        <v>401035</v>
      </c>
      <c r="M75" t="n">
        <v>66.8525345</v>
      </c>
      <c r="N75" t="n">
        <v>539354.55</v>
      </c>
      <c r="O75" t="n">
        <v>0.743546151599166</v>
      </c>
      <c r="P75" t="n">
        <v>4.105340494247608</v>
      </c>
      <c r="Q75" t="n">
        <v>31.57534040546983</v>
      </c>
      <c r="R75" t="n">
        <v>21.50090898479662</v>
      </c>
      <c r="S75" t="n">
        <v>10.1</v>
      </c>
      <c r="T75" t="n">
        <v>-4.140310523289248</v>
      </c>
      <c r="U75" t="n">
        <v>-22.46511627906976</v>
      </c>
      <c r="V75" t="n">
        <v>19037</v>
      </c>
      <c r="W75" t="n">
        <v>19839.5</v>
      </c>
      <c r="X75" t="n">
        <v>21493.16666666667</v>
      </c>
      <c r="Y75" t="n">
        <v>0</v>
      </c>
      <c r="Z75" t="n">
        <v>0</v>
      </c>
      <c r="AA75" t="n">
        <v>0</v>
      </c>
      <c r="AB75" t="n">
        <v>5668.87680325882</v>
      </c>
      <c r="AC75" t="n">
        <v>29.7</v>
      </c>
      <c r="AD75" t="n">
        <v>38</v>
      </c>
      <c r="AE75" t="n">
        <v>74.8</v>
      </c>
      <c r="AF75" t="n">
        <v>42.9</v>
      </c>
      <c r="AG75" t="inlineStr">
        <is>
          <t>D</t>
        </is>
      </c>
    </row>
    <row r="76">
      <c r="A76" t="inlineStr">
        <is>
          <t>A382150</t>
        </is>
      </c>
      <c r="B76" t="inlineStr">
        <is>
          <t>온코크로스</t>
        </is>
      </c>
      <c r="C76" t="inlineStr"/>
      <c r="D76" t="inlineStr"/>
      <c r="E76" t="n">
        <v>0.1</v>
      </c>
      <c r="F76" t="n">
        <v>-0</v>
      </c>
      <c r="G76" t="n">
        <v>-0.5</v>
      </c>
      <c r="H76" t="n">
        <v>9</v>
      </c>
      <c r="I76" t="n">
        <v>17.8</v>
      </c>
      <c r="J76" t="n">
        <v>44.4</v>
      </c>
      <c r="K76" t="n">
        <v>5350</v>
      </c>
      <c r="L76" t="n">
        <v>79300</v>
      </c>
      <c r="M76" t="n">
        <v>4.24255</v>
      </c>
      <c r="N76" t="n">
        <v>101241.35</v>
      </c>
      <c r="O76" t="n">
        <v>0.7832767935235948</v>
      </c>
      <c r="P76" t="n">
        <v>4.796942505803871</v>
      </c>
      <c r="Q76" t="n">
        <v>28.04204756373867</v>
      </c>
      <c r="R76" t="n">
        <v>16.79804151573177</v>
      </c>
      <c r="S76" t="n">
        <v>11.2</v>
      </c>
      <c r="T76" t="n">
        <v>-1.654411764705888</v>
      </c>
      <c r="U76" t="n">
        <v>-34.7560975609756</v>
      </c>
      <c r="V76" t="n">
        <v>6262</v>
      </c>
      <c r="W76" t="n">
        <v>6718</v>
      </c>
      <c r="X76" t="n">
        <v>7317.166666666667</v>
      </c>
      <c r="Y76" t="n">
        <v>0</v>
      </c>
      <c r="Z76" t="n">
        <v>0</v>
      </c>
      <c r="AA76" t="n">
        <v>0</v>
      </c>
      <c r="AB76" t="n">
        <v>3033.444455261691</v>
      </c>
      <c r="AC76" t="n">
        <v>21.3</v>
      </c>
      <c r="AD76" t="n">
        <v>64.5</v>
      </c>
      <c r="AE76" t="n">
        <v>79.3</v>
      </c>
      <c r="AF76" t="n">
        <v>54.5</v>
      </c>
      <c r="AG76" t="inlineStr">
        <is>
          <t>C</t>
        </is>
      </c>
    </row>
    <row r="77">
      <c r="A77" t="inlineStr">
        <is>
          <t>A484870</t>
        </is>
      </c>
      <c r="B77" t="inlineStr">
        <is>
          <t>엠앤씨솔루션</t>
        </is>
      </c>
      <c r="C77" t="inlineStr"/>
      <c r="D77" t="inlineStr"/>
      <c r="E77" t="n">
        <v>-133</v>
      </c>
      <c r="F77" t="n">
        <v>-374.5</v>
      </c>
      <c r="G77" t="n">
        <v>-657.1</v>
      </c>
      <c r="H77" t="n">
        <v>78.5</v>
      </c>
      <c r="I77" t="n">
        <v>153.8</v>
      </c>
      <c r="J77" t="n">
        <v>-89</v>
      </c>
      <c r="K77" t="n">
        <v>68500</v>
      </c>
      <c r="L77" t="n">
        <v>21832</v>
      </c>
      <c r="M77" t="n">
        <v>14.95492</v>
      </c>
      <c r="N77" t="n">
        <v>24885.65</v>
      </c>
      <c r="O77" t="n">
        <v>0.8772927369789416</v>
      </c>
      <c r="P77" t="n">
        <v>3.634476706967883</v>
      </c>
      <c r="Q77" t="n">
        <v>22.73325276220012</v>
      </c>
      <c r="R77" t="n">
        <v>12.56010975439015</v>
      </c>
      <c r="S77" t="n">
        <v>10.2</v>
      </c>
      <c r="T77" t="n">
        <v>1.632047477744814</v>
      </c>
      <c r="U77" t="n">
        <v>-40.17467248908297</v>
      </c>
      <c r="V77" t="n">
        <v>77370</v>
      </c>
      <c r="W77" t="n">
        <v>89035</v>
      </c>
      <c r="X77" t="n">
        <v>106091.6666666667</v>
      </c>
      <c r="Y77" t="n">
        <v>0</v>
      </c>
      <c r="Z77" t="n">
        <v>0</v>
      </c>
      <c r="AA77" t="n">
        <v>0</v>
      </c>
      <c r="AB77" t="n">
        <v>57590.39028025043</v>
      </c>
      <c r="AC77" t="n">
        <v>26.1</v>
      </c>
      <c r="AD77" t="n">
        <v>39.5</v>
      </c>
      <c r="AE77" t="n">
        <v>83.7</v>
      </c>
      <c r="AF77" t="n">
        <v>44.3</v>
      </c>
      <c r="AG77" t="inlineStr">
        <is>
          <t>D</t>
        </is>
      </c>
    </row>
    <row r="78">
      <c r="A78" t="inlineStr">
        <is>
          <t>A457600</t>
        </is>
      </c>
      <c r="B78" t="inlineStr">
        <is>
          <t>벡트</t>
        </is>
      </c>
      <c r="C78" t="inlineStr"/>
      <c r="D78" t="inlineStr"/>
      <c r="E78" t="n">
        <v>0.2</v>
      </c>
      <c r="F78" t="n">
        <v>0.1</v>
      </c>
      <c r="G78" t="n">
        <v>-0</v>
      </c>
      <c r="H78" t="n">
        <v>0.7</v>
      </c>
      <c r="I78" t="n">
        <v>1.4</v>
      </c>
      <c r="J78" t="n">
        <v>0.1</v>
      </c>
      <c r="K78" t="n">
        <v>1611</v>
      </c>
      <c r="L78" t="n">
        <v>99426</v>
      </c>
      <c r="M78" t="n">
        <v>1.60175286</v>
      </c>
      <c r="N78" t="n">
        <v>46680.65</v>
      </c>
      <c r="O78" t="n">
        <v>2.129918927864115</v>
      </c>
      <c r="P78" t="n">
        <v>3.473075250778018</v>
      </c>
      <c r="Q78" t="n">
        <v>34.92875819184506</v>
      </c>
      <c r="R78" t="n">
        <v>50.66168845034715</v>
      </c>
      <c r="S78" t="n">
        <v>-15.7</v>
      </c>
      <c r="T78" t="n">
        <v>2.611464968152877</v>
      </c>
      <c r="U78" t="n">
        <v>-26.10091743119266</v>
      </c>
      <c r="V78" t="n">
        <v>1652.8</v>
      </c>
      <c r="W78" t="n">
        <v>1824.3</v>
      </c>
      <c r="X78" t="n">
        <v>2042.05</v>
      </c>
      <c r="Y78" t="n">
        <v>0</v>
      </c>
      <c r="Z78" t="n">
        <v>0</v>
      </c>
      <c r="AA78" t="n">
        <v>0</v>
      </c>
      <c r="AB78" t="n">
        <v>895.6438201827641</v>
      </c>
      <c r="AC78" t="n">
        <v>52.4</v>
      </c>
      <c r="AD78" t="n">
        <v>60.2</v>
      </c>
      <c r="AE78" t="n">
        <v>97</v>
      </c>
      <c r="AF78" t="n">
        <v>65.2</v>
      </c>
      <c r="AG78" t="inlineStr">
        <is>
          <t>B</t>
        </is>
      </c>
    </row>
    <row r="79">
      <c r="A79" t="inlineStr">
        <is>
          <t>A415640</t>
        </is>
      </c>
      <c r="B79" t="inlineStr">
        <is>
          <t>KB발해인프라</t>
        </is>
      </c>
      <c r="C79" t="inlineStr"/>
      <c r="D79" t="inlineStr"/>
      <c r="E79" t="n">
        <v>14.1</v>
      </c>
      <c r="F79" t="n">
        <v>-24.3</v>
      </c>
      <c r="G79" t="n">
        <v>38.3</v>
      </c>
      <c r="H79" t="n">
        <v>6.5</v>
      </c>
      <c r="I79" t="n">
        <v>-12.5</v>
      </c>
      <c r="J79" t="n">
        <v>-127</v>
      </c>
      <c r="K79" t="n">
        <v>9620</v>
      </c>
      <c r="L79" t="n">
        <v>126149</v>
      </c>
      <c r="M79" t="n">
        <v>12.1355338</v>
      </c>
      <c r="N79" t="n">
        <v>113356.4</v>
      </c>
      <c r="O79" t="n">
        <v>1.112852913465848</v>
      </c>
      <c r="P79" t="n">
        <v>1.124176066124202</v>
      </c>
      <c r="Q79" t="n">
        <v>37.79579579206913</v>
      </c>
      <c r="R79" t="n">
        <v>31.48088343888248</v>
      </c>
      <c r="S79" t="n">
        <v>6.3</v>
      </c>
      <c r="T79" t="n">
        <v>-1.736465781409602</v>
      </c>
      <c r="U79" t="n">
        <v>-3.703703703703703</v>
      </c>
      <c r="V79" t="n">
        <v>9908</v>
      </c>
      <c r="W79" t="n">
        <v>9914</v>
      </c>
      <c r="X79" t="n">
        <v>9946.5</v>
      </c>
      <c r="Y79" t="n">
        <v>0</v>
      </c>
      <c r="Z79" t="n">
        <v>0</v>
      </c>
      <c r="AA79" t="n">
        <v>0</v>
      </c>
      <c r="AB79" t="n">
        <v>519.3356079494406</v>
      </c>
      <c r="AC79" t="n">
        <v>49.5</v>
      </c>
      <c r="AD79" t="n">
        <v>53.6</v>
      </c>
      <c r="AE79" t="n">
        <v>92.59999999999999</v>
      </c>
      <c r="AF79" t="n">
        <v>60.2</v>
      </c>
      <c r="AG79" t="inlineStr">
        <is>
          <t>C</t>
        </is>
      </c>
    </row>
    <row r="80">
      <c r="A80" t="inlineStr">
        <is>
          <t>A459100</t>
        </is>
      </c>
      <c r="B80" t="inlineStr">
        <is>
          <t>위츠</t>
        </is>
      </c>
      <c r="C80" t="inlineStr"/>
      <c r="D80" t="inlineStr"/>
      <c r="E80" t="n">
        <v>0</v>
      </c>
      <c r="F80" t="n">
        <v>0</v>
      </c>
      <c r="G80" t="n">
        <v>-0.2</v>
      </c>
      <c r="H80" t="n">
        <v>-1.8</v>
      </c>
      <c r="I80" t="n">
        <v>-40.8</v>
      </c>
      <c r="J80" t="n">
        <v>13</v>
      </c>
      <c r="K80" t="n">
        <v>5230</v>
      </c>
      <c r="L80" t="n">
        <v>57279</v>
      </c>
      <c r="M80" t="n">
        <v>2.9956917</v>
      </c>
      <c r="N80" t="n">
        <v>194055.1</v>
      </c>
      <c r="O80" t="n">
        <v>0.2951687433105339</v>
      </c>
      <c r="P80" t="n">
        <v>5.190231686986316</v>
      </c>
      <c r="Q80" t="n">
        <v>35.32889814514615</v>
      </c>
      <c r="R80" t="n">
        <v>57.52563842729721</v>
      </c>
      <c r="S80" t="n">
        <v>-22.2</v>
      </c>
      <c r="T80" t="n">
        <v>-2.425373134328357</v>
      </c>
      <c r="U80" t="n">
        <v>-24.20289855072464</v>
      </c>
      <c r="V80" t="n">
        <v>6057</v>
      </c>
      <c r="W80" t="n">
        <v>6350.5</v>
      </c>
      <c r="X80" t="n">
        <v>6104.166666666667</v>
      </c>
      <c r="Y80" t="n">
        <v>0</v>
      </c>
      <c r="Z80" t="n">
        <v>0</v>
      </c>
      <c r="AA80" t="n">
        <v>0</v>
      </c>
      <c r="AB80" t="n">
        <v>2466.533045219116</v>
      </c>
      <c r="AC80" t="n">
        <v>35.5</v>
      </c>
      <c r="AD80" t="n">
        <v>49.6</v>
      </c>
      <c r="AE80" t="n">
        <v>21.5</v>
      </c>
      <c r="AF80" t="n">
        <v>39.8</v>
      </c>
      <c r="AG80" t="inlineStr">
        <is>
          <t>D</t>
        </is>
      </c>
    </row>
    <row r="81">
      <c r="A81" t="inlineStr">
        <is>
          <t>A466410</t>
        </is>
      </c>
      <c r="B81" t="inlineStr">
        <is>
          <t>사이냅소프트</t>
        </is>
      </c>
      <c r="C81" t="inlineStr"/>
      <c r="D81" t="inlineStr"/>
      <c r="E81" t="n">
        <v>-0.5</v>
      </c>
      <c r="F81" t="n">
        <v>-0.6</v>
      </c>
      <c r="G81" t="n">
        <v>-8.300000000000001</v>
      </c>
      <c r="H81" t="n">
        <v>-2.4</v>
      </c>
      <c r="I81" t="n">
        <v>-9.199999999999999</v>
      </c>
      <c r="J81" t="n">
        <v>-38.8</v>
      </c>
      <c r="K81" t="n">
        <v>9740</v>
      </c>
      <c r="L81" t="n">
        <v>32637</v>
      </c>
      <c r="M81" t="n">
        <v>3.1788438</v>
      </c>
      <c r="N81" t="n">
        <v>31268.2</v>
      </c>
      <c r="O81" t="n">
        <v>1.043776104796566</v>
      </c>
      <c r="P81" t="n">
        <v>1.842450114393102</v>
      </c>
      <c r="Q81" t="n">
        <v>29.4244187101707</v>
      </c>
      <c r="R81" t="n">
        <v>15.81278349190592</v>
      </c>
      <c r="S81" t="n">
        <v>13.6</v>
      </c>
      <c r="T81" t="n">
        <v>-3.373015873015872</v>
      </c>
      <c r="U81" t="n">
        <v>-16.89419795221843</v>
      </c>
      <c r="V81" t="n">
        <v>10190</v>
      </c>
      <c r="W81" t="n">
        <v>10568</v>
      </c>
      <c r="X81" t="n">
        <v>11136.5</v>
      </c>
      <c r="Y81" t="n">
        <v>0</v>
      </c>
      <c r="Z81" t="n">
        <v>0</v>
      </c>
      <c r="AA81" t="n">
        <v>0</v>
      </c>
      <c r="AB81" t="n">
        <v>1823.662018548046</v>
      </c>
      <c r="AC81" t="n">
        <v>34.1</v>
      </c>
      <c r="AD81" t="n">
        <v>41.7</v>
      </c>
      <c r="AE81" t="n">
        <v>90.40000000000001</v>
      </c>
      <c r="AF81" t="n">
        <v>49.2</v>
      </c>
      <c r="AG81" t="inlineStr">
        <is>
          <t>D</t>
        </is>
      </c>
    </row>
    <row r="82">
      <c r="A82" t="inlineStr">
        <is>
          <t>A475660</t>
        </is>
      </c>
      <c r="B82" t="inlineStr">
        <is>
          <t>에스켐</t>
        </is>
      </c>
      <c r="C82" t="inlineStr"/>
      <c r="D82" t="inlineStr"/>
      <c r="E82" t="n">
        <v>0</v>
      </c>
      <c r="F82" t="n">
        <v>0</v>
      </c>
      <c r="G82" t="n">
        <v>-0.8</v>
      </c>
      <c r="H82" t="n">
        <v>4.7</v>
      </c>
      <c r="I82" t="n">
        <v>-0.8</v>
      </c>
      <c r="J82" t="n">
        <v>-25.9</v>
      </c>
      <c r="K82" t="n">
        <v>4540</v>
      </c>
      <c r="L82" t="n">
        <v>29127</v>
      </c>
      <c r="M82" t="n">
        <v>1.3223658</v>
      </c>
      <c r="N82" t="n">
        <v>28794.95</v>
      </c>
      <c r="O82" t="n">
        <v>1.011531535911679</v>
      </c>
      <c r="P82" t="n">
        <v>4.761231005265615</v>
      </c>
      <c r="Q82" t="n">
        <v>44.20643104899056</v>
      </c>
      <c r="R82" t="n">
        <v>30.23779843325489</v>
      </c>
      <c r="S82" t="n">
        <v>14</v>
      </c>
      <c r="T82" t="n">
        <v>8.095238095238088</v>
      </c>
      <c r="U82" t="n">
        <v>-12.85988483685221</v>
      </c>
      <c r="V82" t="n">
        <v>4428.5</v>
      </c>
      <c r="W82" t="n">
        <v>4659.25</v>
      </c>
      <c r="X82" t="n">
        <v>5226.75</v>
      </c>
      <c r="Y82" t="n">
        <v>1</v>
      </c>
      <c r="Z82" t="n">
        <v>0</v>
      </c>
      <c r="AA82" t="n">
        <v>0</v>
      </c>
      <c r="AB82" t="n">
        <v>1193.531248901872</v>
      </c>
      <c r="AC82" t="n">
        <v>90.3</v>
      </c>
      <c r="AD82" t="n">
        <v>54.2</v>
      </c>
      <c r="AE82" t="n">
        <v>88.90000000000001</v>
      </c>
      <c r="AF82" t="n">
        <v>72</v>
      </c>
      <c r="AG82" t="inlineStr">
        <is>
          <t>B</t>
        </is>
      </c>
    </row>
    <row r="83">
      <c r="A83" t="inlineStr">
        <is>
          <t>A413390</t>
        </is>
      </c>
      <c r="B83" t="inlineStr">
        <is>
          <t>엠오티</t>
        </is>
      </c>
      <c r="C83" t="inlineStr"/>
      <c r="D83" t="inlineStr"/>
      <c r="E83" t="n">
        <v>-0</v>
      </c>
      <c r="F83" t="n">
        <v>0</v>
      </c>
      <c r="G83" t="n">
        <v>-0.6</v>
      </c>
      <c r="H83" t="n">
        <v>-6.5</v>
      </c>
      <c r="I83" t="n">
        <v>-11.6</v>
      </c>
      <c r="J83" t="n">
        <v>-187.3</v>
      </c>
      <c r="K83" t="n">
        <v>7340</v>
      </c>
      <c r="L83" t="n">
        <v>102757</v>
      </c>
      <c r="M83" t="n">
        <v>7.5423638</v>
      </c>
      <c r="N83" t="n">
        <v>118906.5</v>
      </c>
      <c r="O83" t="n">
        <v>0.8641832027685619</v>
      </c>
      <c r="P83" t="n">
        <v>3.724663789740761</v>
      </c>
      <c r="Q83" t="n">
        <v>38.43828089807334</v>
      </c>
      <c r="R83" t="n">
        <v>38.85539512682158</v>
      </c>
      <c r="S83" t="n">
        <v>-0.4</v>
      </c>
      <c r="T83" t="n">
        <v>7.153284671532845</v>
      </c>
      <c r="U83" t="n">
        <v>-20.56277056277056</v>
      </c>
      <c r="V83" t="n">
        <v>7352</v>
      </c>
      <c r="W83" t="n">
        <v>7967</v>
      </c>
      <c r="X83" t="n">
        <v>8335.166666666666</v>
      </c>
      <c r="Y83" t="n">
        <v>0</v>
      </c>
      <c r="Z83" t="n">
        <v>0</v>
      </c>
      <c r="AA83" t="n">
        <v>0</v>
      </c>
      <c r="AB83" t="n">
        <v>3154.73512108553</v>
      </c>
      <c r="AC83" t="n">
        <v>64.09999999999999</v>
      </c>
      <c r="AD83" t="n">
        <v>43.9</v>
      </c>
      <c r="AE83" t="n">
        <v>83</v>
      </c>
      <c r="AF83" t="n">
        <v>57.8</v>
      </c>
      <c r="AG83" t="inlineStr">
        <is>
          <t>C</t>
        </is>
      </c>
    </row>
    <row r="84">
      <c r="A84" t="inlineStr">
        <is>
          <t>A394800</t>
        </is>
      </c>
      <c r="B84" t="inlineStr">
        <is>
          <t>쓰리빌리언</t>
        </is>
      </c>
      <c r="C84" t="inlineStr"/>
      <c r="D84" t="inlineStr"/>
      <c r="E84" t="n">
        <v>40.8</v>
      </c>
      <c r="F84" t="n">
        <v>-1.9</v>
      </c>
      <c r="G84" t="n">
        <v>-15.9</v>
      </c>
      <c r="H84" t="n">
        <v>-34.4</v>
      </c>
      <c r="I84" t="n">
        <v>64.2</v>
      </c>
      <c r="J84" t="n">
        <v>-215.5</v>
      </c>
      <c r="K84" t="n">
        <v>8420</v>
      </c>
      <c r="L84" t="n">
        <v>137921</v>
      </c>
      <c r="M84" t="n">
        <v>11.6129482</v>
      </c>
      <c r="N84" t="n">
        <v>224414.55</v>
      </c>
      <c r="O84" t="n">
        <v>0.6145813629285624</v>
      </c>
      <c r="P84" t="n">
        <v>4.315316116933221</v>
      </c>
      <c r="Q84" t="n">
        <v>28.03754777713498</v>
      </c>
      <c r="R84" t="n">
        <v>9.848744252483746</v>
      </c>
      <c r="S84" t="n">
        <v>18.2</v>
      </c>
      <c r="T84" t="n">
        <v>0.2380952380952372</v>
      </c>
      <c r="U84" t="n">
        <v>-35.87204874333587</v>
      </c>
      <c r="V84" t="n">
        <v>9189</v>
      </c>
      <c r="W84" t="n">
        <v>10088</v>
      </c>
      <c r="X84" t="n">
        <v>12024.5</v>
      </c>
      <c r="Y84" t="n">
        <v>0</v>
      </c>
      <c r="Z84" t="n">
        <v>0</v>
      </c>
      <c r="AA84" t="n">
        <v>0</v>
      </c>
      <c r="AB84" t="n">
        <v>4698.014810310255</v>
      </c>
      <c r="AC84" t="n">
        <v>29.2</v>
      </c>
      <c r="AD84" t="n">
        <v>50.5</v>
      </c>
      <c r="AE84" t="n">
        <v>65.90000000000001</v>
      </c>
      <c r="AF84" t="n">
        <v>47.2</v>
      </c>
      <c r="AG84" t="inlineStr">
        <is>
          <t>D</t>
        </is>
      </c>
    </row>
    <row r="85">
      <c r="A85" t="inlineStr">
        <is>
          <t>A464580</t>
        </is>
      </c>
      <c r="B85" t="inlineStr">
        <is>
          <t>닷밀</t>
        </is>
      </c>
      <c r="C85" t="inlineStr"/>
      <c r="D85" t="inlineStr"/>
      <c r="E85" t="n">
        <v>0</v>
      </c>
      <c r="F85" t="n">
        <v>-0.1</v>
      </c>
      <c r="G85" t="n">
        <v>-0.3</v>
      </c>
      <c r="H85" t="n">
        <v>-0.7</v>
      </c>
      <c r="I85" t="n">
        <v>-3.6</v>
      </c>
      <c r="J85" t="n">
        <v>-22.3</v>
      </c>
      <c r="K85" t="n">
        <v>1719</v>
      </c>
      <c r="L85" t="n">
        <v>17752</v>
      </c>
      <c r="M85" t="n">
        <v>0.30515688</v>
      </c>
      <c r="N85" t="n">
        <v>56538.1</v>
      </c>
      <c r="O85" t="n">
        <v>0.3139829601631466</v>
      </c>
      <c r="P85" t="n">
        <v>2.674786575140725</v>
      </c>
      <c r="Q85" t="n">
        <v>34.14156723172777</v>
      </c>
      <c r="R85" t="n">
        <v>15.21064188203385</v>
      </c>
      <c r="S85" t="n">
        <v>18.9</v>
      </c>
      <c r="T85" t="n">
        <v>1.415929203539834</v>
      </c>
      <c r="U85" t="n">
        <v>-23.08724832214765</v>
      </c>
      <c r="V85" t="n">
        <v>1743.7</v>
      </c>
      <c r="W85" t="n">
        <v>1862.1</v>
      </c>
      <c r="X85" t="n">
        <v>2022.866666666667</v>
      </c>
      <c r="Y85" t="n">
        <v>0</v>
      </c>
      <c r="Z85" t="n">
        <v>0</v>
      </c>
      <c r="AA85" t="n">
        <v>0</v>
      </c>
      <c r="AB85" t="n">
        <v>588.1323159397311</v>
      </c>
      <c r="AC85" t="n">
        <v>51.6</v>
      </c>
      <c r="AD85" t="n">
        <v>49.3</v>
      </c>
      <c r="AE85" t="n">
        <v>25.9</v>
      </c>
      <c r="AF85" t="n">
        <v>45.3</v>
      </c>
      <c r="AG85" t="inlineStr">
        <is>
          <t>D</t>
        </is>
      </c>
    </row>
    <row r="86">
      <c r="A86" t="inlineStr">
        <is>
          <t>A473980</t>
        </is>
      </c>
      <c r="B86" t="inlineStr">
        <is>
          <t>노머스</t>
        </is>
      </c>
      <c r="C86" t="inlineStr"/>
      <c r="D86" t="inlineStr"/>
      <c r="E86" t="n">
        <v>34.8</v>
      </c>
      <c r="F86" t="n">
        <v>112.6</v>
      </c>
      <c r="G86" t="n">
        <v>410.8</v>
      </c>
      <c r="H86" t="n">
        <v>23.2</v>
      </c>
      <c r="I86" t="n">
        <v>38.6</v>
      </c>
      <c r="J86" t="n">
        <v>-9.800000000000001</v>
      </c>
      <c r="K86" t="n">
        <v>14000</v>
      </c>
      <c r="L86" t="n">
        <v>45278</v>
      </c>
      <c r="M86" t="n">
        <v>6.33892</v>
      </c>
      <c r="N86" t="n">
        <v>66871.89999999999</v>
      </c>
      <c r="O86" t="n">
        <v>0.6770855920050126</v>
      </c>
      <c r="P86" t="n">
        <v>3.456897901148991</v>
      </c>
      <c r="Q86" t="n">
        <v>35.38595035001909</v>
      </c>
      <c r="R86" t="n">
        <v>29.59491880423996</v>
      </c>
      <c r="S86" t="n">
        <v>5.8</v>
      </c>
      <c r="T86" t="n">
        <v>-0.4267425320056861</v>
      </c>
      <c r="U86" t="n">
        <v>-20.22792022792023</v>
      </c>
      <c r="V86" t="n">
        <v>14384</v>
      </c>
      <c r="W86" t="n">
        <v>15572.5</v>
      </c>
      <c r="X86" t="n">
        <v>17158</v>
      </c>
      <c r="Y86" t="n">
        <v>0</v>
      </c>
      <c r="Z86" t="n">
        <v>0</v>
      </c>
      <c r="AA86" t="n">
        <v>0</v>
      </c>
      <c r="AB86" t="n">
        <v>5398.524164796778</v>
      </c>
      <c r="AC86" t="n">
        <v>46.6</v>
      </c>
      <c r="AD86" t="n">
        <v>79.90000000000001</v>
      </c>
      <c r="AE86" t="n">
        <v>71.90000000000001</v>
      </c>
      <c r="AF86" t="n">
        <v>68.3</v>
      </c>
      <c r="AG86" t="inlineStr">
        <is>
          <t>B</t>
        </is>
      </c>
    </row>
    <row r="87">
      <c r="A87" t="inlineStr">
        <is>
          <t>A163280</t>
        </is>
      </c>
      <c r="B87" t="inlineStr">
        <is>
          <t>에어레인</t>
        </is>
      </c>
      <c r="C87" t="inlineStr"/>
      <c r="D87" t="inlineStr"/>
      <c r="E87" t="n">
        <v>-1.1</v>
      </c>
      <c r="F87" t="n">
        <v>-5.7</v>
      </c>
      <c r="G87" t="n">
        <v>-6.2</v>
      </c>
      <c r="H87" t="n">
        <v>0.6</v>
      </c>
      <c r="I87" t="n">
        <v>15.5</v>
      </c>
      <c r="J87" t="n">
        <v>-75.59999999999999</v>
      </c>
      <c r="K87" t="n">
        <v>4415</v>
      </c>
      <c r="L87" t="n">
        <v>40891</v>
      </c>
      <c r="M87" t="n">
        <v>1.80533765</v>
      </c>
      <c r="N87" t="n">
        <v>114485.75</v>
      </c>
      <c r="O87" t="n">
        <v>0.3571710889783226</v>
      </c>
      <c r="P87" t="n">
        <v>3.348072846030441</v>
      </c>
      <c r="Q87" t="n">
        <v>25.11141005739573</v>
      </c>
      <c r="R87" t="n">
        <v>18.87657766805311</v>
      </c>
      <c r="S87" t="n">
        <v>6.2</v>
      </c>
      <c r="T87" t="n">
        <v>-3.073545554335899</v>
      </c>
      <c r="U87" t="n">
        <v>-28.79032258064516</v>
      </c>
      <c r="V87" t="n">
        <v>4840.5</v>
      </c>
      <c r="W87" t="n">
        <v>5228.25</v>
      </c>
      <c r="X87" t="n">
        <v>5826.75</v>
      </c>
      <c r="Y87" t="n">
        <v>0</v>
      </c>
      <c r="Z87" t="n">
        <v>0</v>
      </c>
      <c r="AA87" t="n">
        <v>0</v>
      </c>
      <c r="AB87" t="n">
        <v>1987.924334046631</v>
      </c>
      <c r="AC87" t="n">
        <v>22</v>
      </c>
      <c r="AD87" t="n">
        <v>43.5</v>
      </c>
      <c r="AE87" t="n">
        <v>34.8</v>
      </c>
      <c r="AF87" t="n">
        <v>35.3</v>
      </c>
      <c r="AG87" t="inlineStr">
        <is>
          <t>D</t>
        </is>
      </c>
    </row>
    <row r="88">
      <c r="A88" t="inlineStr">
        <is>
          <t>A475960</t>
        </is>
      </c>
      <c r="B88" t="inlineStr">
        <is>
          <t>토모큐브</t>
        </is>
      </c>
      <c r="C88" t="inlineStr"/>
      <c r="D88" t="inlineStr"/>
      <c r="E88" t="n">
        <v>-79.5</v>
      </c>
      <c r="F88" t="n">
        <v>-379.3</v>
      </c>
      <c r="G88" t="n">
        <v>-321.9</v>
      </c>
      <c r="H88" t="n">
        <v>116.9</v>
      </c>
      <c r="I88" t="n">
        <v>3.3</v>
      </c>
      <c r="J88" t="n">
        <v>-1004.3</v>
      </c>
      <c r="K88" t="n">
        <v>42100</v>
      </c>
      <c r="L88" t="n">
        <v>46755</v>
      </c>
      <c r="M88" t="n">
        <v>19.683855</v>
      </c>
      <c r="N88" t="n">
        <v>133608.85</v>
      </c>
      <c r="O88" t="n">
        <v>0.3499393939847547</v>
      </c>
      <c r="P88" t="n">
        <v>4.118270225579671</v>
      </c>
      <c r="Q88" t="n">
        <v>35.04672621951362</v>
      </c>
      <c r="R88" t="n">
        <v>55.3510197158462</v>
      </c>
      <c r="S88" t="n">
        <v>-20.3</v>
      </c>
      <c r="T88" t="n">
        <v>3.186274509803932</v>
      </c>
      <c r="U88" t="n">
        <v>-28.15699658703072</v>
      </c>
      <c r="V88" t="n">
        <v>44090</v>
      </c>
      <c r="W88" t="n">
        <v>48217.5</v>
      </c>
      <c r="X88" t="n">
        <v>52709.16666666666</v>
      </c>
      <c r="Y88" t="n">
        <v>0</v>
      </c>
      <c r="Z88" t="n">
        <v>0</v>
      </c>
      <c r="AA88" t="n">
        <v>0</v>
      </c>
      <c r="AB88" t="n">
        <v>22725.38807496794</v>
      </c>
      <c r="AC88" t="n">
        <v>51.5</v>
      </c>
      <c r="AD88" t="n">
        <v>35.2</v>
      </c>
      <c r="AE88" t="n">
        <v>32.6</v>
      </c>
      <c r="AF88" t="n">
        <v>39.6</v>
      </c>
      <c r="AG88" t="inlineStr">
        <is>
          <t>D</t>
        </is>
      </c>
    </row>
    <row r="89">
      <c r="A89" t="inlineStr">
        <is>
          <t>A475560</t>
        </is>
      </c>
      <c r="B89" t="inlineStr">
        <is>
          <t>더본코리아</t>
        </is>
      </c>
      <c r="C89" t="inlineStr"/>
      <c r="D89" t="inlineStr"/>
      <c r="E89" t="n">
        <v>-1</v>
      </c>
      <c r="F89" t="n">
        <v>-1</v>
      </c>
      <c r="G89" t="n">
        <v>-28.6</v>
      </c>
      <c r="H89" t="n">
        <v>15.6</v>
      </c>
      <c r="I89" t="n">
        <v>16</v>
      </c>
      <c r="J89" t="n">
        <v>-11.6</v>
      </c>
      <c r="K89" t="n">
        <v>16010</v>
      </c>
      <c r="L89" t="n">
        <v>14985</v>
      </c>
      <c r="M89" t="n">
        <v>2.3990985</v>
      </c>
      <c r="N89" t="n">
        <v>19708.25</v>
      </c>
      <c r="O89" t="n">
        <v>0.7603414813593292</v>
      </c>
      <c r="P89" t="n">
        <v>1.343463611689742</v>
      </c>
      <c r="Q89" t="n">
        <v>12.15880149783288</v>
      </c>
      <c r="R89" t="n">
        <v>7.397140296349366</v>
      </c>
      <c r="S89" t="n">
        <v>4.8</v>
      </c>
      <c r="T89" t="n">
        <v>-2.019583843329253</v>
      </c>
      <c r="U89" t="n">
        <v>-23.21342925659473</v>
      </c>
      <c r="V89" t="n">
        <v>17400</v>
      </c>
      <c r="W89" t="n">
        <v>18460</v>
      </c>
      <c r="X89" t="n">
        <v>20284.16666666667</v>
      </c>
      <c r="Y89" t="n">
        <v>0</v>
      </c>
      <c r="Z89" t="n">
        <v>0</v>
      </c>
      <c r="AA89" t="n">
        <v>0</v>
      </c>
      <c r="AB89" t="n">
        <v>5255.381202058265</v>
      </c>
      <c r="AC89" t="n">
        <v>24.9</v>
      </c>
      <c r="AD89" t="n">
        <v>52.6</v>
      </c>
      <c r="AE89" t="n">
        <v>76.3</v>
      </c>
      <c r="AF89" t="n">
        <v>49</v>
      </c>
      <c r="AG89" t="inlineStr">
        <is>
          <t>D</t>
        </is>
      </c>
    </row>
    <row r="90">
      <c r="A90" t="inlineStr">
        <is>
          <t>A376270</t>
        </is>
      </c>
      <c r="B90" t="inlineStr">
        <is>
          <t>HEM파마</t>
        </is>
      </c>
      <c r="C90" t="inlineStr"/>
      <c r="D90" t="inlineStr"/>
      <c r="E90" t="n">
        <v>40.4</v>
      </c>
      <c r="F90" t="n">
        <v>-170.5</v>
      </c>
      <c r="G90" t="n">
        <v>-283.8</v>
      </c>
      <c r="H90" t="n">
        <v>-12.6</v>
      </c>
      <c r="I90" t="n">
        <v>-18.4</v>
      </c>
      <c r="J90" t="n">
        <v>50.9</v>
      </c>
      <c r="K90" t="n">
        <v>49250</v>
      </c>
      <c r="L90" t="n">
        <v>22812</v>
      </c>
      <c r="M90" t="n">
        <v>11.23491</v>
      </c>
      <c r="N90" t="n">
        <v>36553.8</v>
      </c>
      <c r="O90" t="n">
        <v>0.624066444528339</v>
      </c>
      <c r="P90" t="n">
        <v>5.083242236310481</v>
      </c>
      <c r="Q90" t="n">
        <v>35.28452990585627</v>
      </c>
      <c r="R90" t="n">
        <v>23.16299344348508</v>
      </c>
      <c r="S90" t="n">
        <v>12.1</v>
      </c>
      <c r="T90" t="n">
        <v>5.010660980810244</v>
      </c>
      <c r="U90" t="n">
        <v>-19.91869918699187</v>
      </c>
      <c r="V90" t="n">
        <v>52760</v>
      </c>
      <c r="W90" t="n">
        <v>58830</v>
      </c>
      <c r="X90" t="n">
        <v>63928.33333333334</v>
      </c>
      <c r="Y90" t="n">
        <v>0</v>
      </c>
      <c r="Z90" t="n">
        <v>0</v>
      </c>
      <c r="AA90" t="n">
        <v>0</v>
      </c>
      <c r="AB90" t="n">
        <v>32413.9930796627</v>
      </c>
      <c r="AC90" t="n">
        <v>61.3</v>
      </c>
      <c r="AD90" t="n">
        <v>42.5</v>
      </c>
      <c r="AE90" t="n">
        <v>67.40000000000001</v>
      </c>
      <c r="AF90" t="n">
        <v>53.1</v>
      </c>
      <c r="AG90" t="inlineStr">
        <is>
          <t>C</t>
        </is>
      </c>
    </row>
    <row r="91">
      <c r="A91" t="inlineStr">
        <is>
          <t>A475580</t>
        </is>
      </c>
      <c r="B91" t="inlineStr">
        <is>
          <t>에이럭스</t>
        </is>
      </c>
      <c r="C91" t="inlineStr"/>
      <c r="D91" t="inlineStr"/>
      <c r="E91" t="n">
        <v>0.1</v>
      </c>
      <c r="F91" t="n">
        <v>-28.4</v>
      </c>
      <c r="G91" t="n">
        <v>-17.2</v>
      </c>
      <c r="H91" t="n">
        <v>36.3</v>
      </c>
      <c r="I91" t="n">
        <v>-179.3</v>
      </c>
      <c r="J91" t="n">
        <v>-201.9</v>
      </c>
      <c r="K91" t="n">
        <v>8400</v>
      </c>
      <c r="L91" t="n">
        <v>100782</v>
      </c>
      <c r="M91" t="n">
        <v>8.465688</v>
      </c>
      <c r="N91" t="n">
        <v>252390.45</v>
      </c>
      <c r="O91" t="n">
        <v>0.3993098788008817</v>
      </c>
      <c r="P91" t="n">
        <v>3.218004285557948</v>
      </c>
      <c r="Q91" t="n">
        <v>27.82219649526951</v>
      </c>
      <c r="R91" t="n">
        <v>11.36025781736394</v>
      </c>
      <c r="S91" t="n">
        <v>16.5</v>
      </c>
      <c r="T91" t="n">
        <v>2.314250913520088</v>
      </c>
      <c r="U91" t="n">
        <v>-32.9608938547486</v>
      </c>
      <c r="V91" t="n">
        <v>8929</v>
      </c>
      <c r="W91" t="n">
        <v>9780.5</v>
      </c>
      <c r="X91" t="n">
        <v>11677.66666666667</v>
      </c>
      <c r="Y91" t="n">
        <v>0</v>
      </c>
      <c r="Z91" t="n">
        <v>0</v>
      </c>
      <c r="AA91" t="n">
        <v>0</v>
      </c>
      <c r="AB91" t="n">
        <v>4484.198690372323</v>
      </c>
      <c r="AC91" t="n">
        <v>38.9</v>
      </c>
      <c r="AD91" t="n">
        <v>44.8</v>
      </c>
      <c r="AE91" t="n">
        <v>40</v>
      </c>
      <c r="AF91" t="n">
        <v>42.1</v>
      </c>
      <c r="AG91" t="inlineStr">
        <is>
          <t>D</t>
        </is>
      </c>
    </row>
    <row r="92">
      <c r="A92" t="inlineStr">
        <is>
          <t>A336680</t>
        </is>
      </c>
      <c r="B92" t="inlineStr">
        <is>
          <t>탑런토탈솔루션</t>
        </is>
      </c>
      <c r="C92" t="inlineStr"/>
      <c r="D92" t="inlineStr"/>
      <c r="E92" t="n">
        <v>-0</v>
      </c>
      <c r="F92" t="n">
        <v>-0</v>
      </c>
      <c r="G92" t="n">
        <v>-9.6</v>
      </c>
      <c r="H92" t="n">
        <v>10.8</v>
      </c>
      <c r="I92" t="n">
        <v>1.1</v>
      </c>
      <c r="J92" t="n">
        <v>10.2</v>
      </c>
      <c r="K92" t="n">
        <v>3105</v>
      </c>
      <c r="L92" t="n">
        <v>12838</v>
      </c>
      <c r="M92" t="n">
        <v>0.3986199</v>
      </c>
      <c r="N92" t="n">
        <v>47650.15</v>
      </c>
      <c r="O92" t="n">
        <v>0.2694220270030629</v>
      </c>
      <c r="P92" t="n">
        <v>1.903686606301846</v>
      </c>
      <c r="Q92" t="n">
        <v>25.82407645711653</v>
      </c>
      <c r="R92" t="n">
        <v>9.148883543763153</v>
      </c>
      <c r="S92" t="n">
        <v>16.7</v>
      </c>
      <c r="T92" t="n">
        <v>3.499999999999992</v>
      </c>
      <c r="U92" t="n">
        <v>-19.35064935064935</v>
      </c>
      <c r="V92" t="n">
        <v>3304</v>
      </c>
      <c r="W92" t="n">
        <v>3503.5</v>
      </c>
      <c r="X92" t="n">
        <v>3680.916666666667</v>
      </c>
      <c r="Y92" t="n">
        <v>0</v>
      </c>
      <c r="Z92" t="n">
        <v>0</v>
      </c>
      <c r="AA92" t="n">
        <v>0</v>
      </c>
      <c r="AB92" t="n">
        <v>988.8451531165547</v>
      </c>
      <c r="AC92" t="n">
        <v>52.1</v>
      </c>
      <c r="AD92" t="n">
        <v>57.7</v>
      </c>
      <c r="AE92" t="n">
        <v>17.8</v>
      </c>
      <c r="AF92" t="n">
        <v>48</v>
      </c>
      <c r="AG92" t="inlineStr">
        <is>
          <t>D</t>
        </is>
      </c>
    </row>
    <row r="93">
      <c r="A93" t="inlineStr">
        <is>
          <t>A458650</t>
        </is>
      </c>
      <c r="B93" t="inlineStr">
        <is>
          <t>성우</t>
        </is>
      </c>
      <c r="C93" t="inlineStr"/>
      <c r="D93" t="inlineStr"/>
      <c r="E93" t="n">
        <v>22</v>
      </c>
      <c r="F93" t="n">
        <v>102.1</v>
      </c>
      <c r="G93" t="n">
        <v>136.5</v>
      </c>
      <c r="H93" t="n">
        <v>-3.4</v>
      </c>
      <c r="I93" t="n">
        <v>-106.3</v>
      </c>
      <c r="J93" t="n">
        <v>21.7</v>
      </c>
      <c r="K93" t="n">
        <v>11190</v>
      </c>
      <c r="L93" t="n">
        <v>37331</v>
      </c>
      <c r="M93" t="n">
        <v>4.1773389</v>
      </c>
      <c r="N93" t="n">
        <v>147052.4</v>
      </c>
      <c r="O93" t="n">
        <v>0.2538618886872979</v>
      </c>
      <c r="P93" t="n">
        <v>3.110824892090847</v>
      </c>
      <c r="Q93" t="n">
        <v>31.15866590502374</v>
      </c>
      <c r="R93" t="n">
        <v>33.62175471840448</v>
      </c>
      <c r="S93" t="n">
        <v>-2.5</v>
      </c>
      <c r="T93" t="n">
        <v>0.7200720072007227</v>
      </c>
      <c r="U93" t="n">
        <v>-20.75070821529745</v>
      </c>
      <c r="V93" t="n">
        <v>12732</v>
      </c>
      <c r="W93" t="n">
        <v>13096.5</v>
      </c>
      <c r="X93" t="n">
        <v>12960</v>
      </c>
      <c r="Y93" t="n">
        <v>0</v>
      </c>
      <c r="Z93" t="n">
        <v>0</v>
      </c>
      <c r="AA93" t="n">
        <v>0</v>
      </c>
      <c r="AB93" t="n">
        <v>3815.82908146413</v>
      </c>
      <c r="AC93" t="n">
        <v>47.9</v>
      </c>
      <c r="AD93" t="n">
        <v>61.7</v>
      </c>
      <c r="AE93" t="n">
        <v>17</v>
      </c>
      <c r="AF93" t="n">
        <v>48.6</v>
      </c>
      <c r="AG93" t="inlineStr">
        <is>
          <t>D</t>
        </is>
      </c>
    </row>
    <row r="94">
      <c r="A94" t="inlineStr">
        <is>
          <t>A466100</t>
        </is>
      </c>
      <c r="B94" t="inlineStr">
        <is>
          <t>클로봇</t>
        </is>
      </c>
      <c r="C94" t="inlineStr"/>
      <c r="D94" t="inlineStr"/>
      <c r="E94" t="n">
        <v>281.5</v>
      </c>
      <c r="F94" t="n">
        <v>376.1</v>
      </c>
      <c r="G94" t="n">
        <v>103</v>
      </c>
      <c r="H94" t="n">
        <v>-241.8</v>
      </c>
      <c r="I94" t="n">
        <v>-1065.8</v>
      </c>
      <c r="J94" t="n">
        <v>-577.5</v>
      </c>
      <c r="K94" t="n">
        <v>46450</v>
      </c>
      <c r="L94" t="n">
        <v>475869</v>
      </c>
      <c r="M94" t="n">
        <v>221.0411505</v>
      </c>
      <c r="N94" t="n">
        <v>470491.05</v>
      </c>
      <c r="O94" t="n">
        <v>1.011430504363473</v>
      </c>
      <c r="P94" t="n">
        <v>4.263025442345443</v>
      </c>
      <c r="Q94" t="n">
        <v>50.16541349195553</v>
      </c>
      <c r="R94" t="n">
        <v>45.30274128674548</v>
      </c>
      <c r="S94" t="n">
        <v>4.9</v>
      </c>
      <c r="T94" t="n">
        <v>-2.004219409282704</v>
      </c>
      <c r="U94" t="n">
        <v>-8.562992125984252</v>
      </c>
      <c r="V94" t="n">
        <v>43255</v>
      </c>
      <c r="W94" t="n">
        <v>45022.5</v>
      </c>
      <c r="X94" t="n">
        <v>48811.66666666666</v>
      </c>
      <c r="Y94" t="n">
        <v>1</v>
      </c>
      <c r="Z94" t="n">
        <v>1</v>
      </c>
      <c r="AA94" t="n">
        <v>0</v>
      </c>
      <c r="AB94" t="n">
        <v>13252.44366741063</v>
      </c>
      <c r="AC94" t="n">
        <v>71.5</v>
      </c>
      <c r="AD94" t="n">
        <v>50.2</v>
      </c>
      <c r="AE94" t="n">
        <v>88.09999999999999</v>
      </c>
      <c r="AF94" t="n">
        <v>64.2</v>
      </c>
      <c r="AG94" t="inlineStr">
        <is>
          <t>C</t>
        </is>
      </c>
    </row>
    <row r="95">
      <c r="A95" t="inlineStr">
        <is>
          <t>A044990</t>
        </is>
      </c>
      <c r="B95" t="inlineStr">
        <is>
          <t>에이치엔에스하이텍</t>
        </is>
      </c>
      <c r="C95" t="inlineStr"/>
      <c r="D95" t="inlineStr"/>
      <c r="E95" t="n">
        <v>1</v>
      </c>
      <c r="F95" t="n">
        <v>-37.8</v>
      </c>
      <c r="G95" t="n">
        <v>-37.1</v>
      </c>
      <c r="H95" t="n">
        <v>22.8</v>
      </c>
      <c r="I95" t="n">
        <v>-19.8</v>
      </c>
      <c r="J95" t="n">
        <v>-163.7</v>
      </c>
      <c r="K95" t="n">
        <v>13220</v>
      </c>
      <c r="L95" t="n">
        <v>28205</v>
      </c>
      <c r="M95" t="n">
        <v>3.728701</v>
      </c>
      <c r="N95" t="n">
        <v>116948.15</v>
      </c>
      <c r="O95" t="n">
        <v>0.2411752558719398</v>
      </c>
      <c r="P95" t="n">
        <v>5.519069490060819</v>
      </c>
      <c r="Q95" t="n">
        <v>33.84610790903823</v>
      </c>
      <c r="R95" t="n">
        <v>28.19933314573679</v>
      </c>
      <c r="S95" t="n">
        <v>5.6</v>
      </c>
      <c r="T95" t="n">
        <v>1.225114854517617</v>
      </c>
      <c r="U95" t="n">
        <v>-33.90000000000001</v>
      </c>
      <c r="V95" t="n">
        <v>14060</v>
      </c>
      <c r="W95" t="n">
        <v>15619.5</v>
      </c>
      <c r="X95" t="n">
        <v>15562.66666666667</v>
      </c>
      <c r="Y95" t="n">
        <v>0</v>
      </c>
      <c r="Z95" t="n">
        <v>0</v>
      </c>
      <c r="AA95" t="n">
        <v>0</v>
      </c>
      <c r="AB95" t="n">
        <v>8863.241417283672</v>
      </c>
      <c r="AC95" t="n">
        <v>40.6</v>
      </c>
      <c r="AD95" t="n">
        <v>47.7</v>
      </c>
      <c r="AE95" t="n">
        <v>14.8</v>
      </c>
      <c r="AF95" t="n">
        <v>39</v>
      </c>
      <c r="AG95" t="inlineStr">
        <is>
          <t>D</t>
        </is>
      </c>
    </row>
    <row r="96">
      <c r="A96" t="inlineStr">
        <is>
          <t>A289930</t>
        </is>
      </c>
      <c r="B96" t="inlineStr">
        <is>
          <t>웨이비스</t>
        </is>
      </c>
      <c r="C96" t="inlineStr"/>
      <c r="D96" t="inlineStr"/>
      <c r="E96" t="n">
        <v>-0.4</v>
      </c>
      <c r="F96" t="n">
        <v>-10</v>
      </c>
      <c r="G96" t="n">
        <v>-207.2</v>
      </c>
      <c r="H96" t="n">
        <v>47.2</v>
      </c>
      <c r="I96" t="n">
        <v>103</v>
      </c>
      <c r="J96" t="n">
        <v>127.7</v>
      </c>
      <c r="K96" t="n">
        <v>11860</v>
      </c>
      <c r="L96" t="n">
        <v>122866</v>
      </c>
      <c r="M96" t="n">
        <v>14.5719076</v>
      </c>
      <c r="N96" t="n">
        <v>296817.25</v>
      </c>
      <c r="O96" t="n">
        <v>0.4139449442375738</v>
      </c>
      <c r="P96" t="n">
        <v>4.459381708621732</v>
      </c>
      <c r="Q96" t="n">
        <v>24.34464984687484</v>
      </c>
      <c r="R96" t="n">
        <v>3.378303305042721</v>
      </c>
      <c r="S96" t="n">
        <v>21</v>
      </c>
      <c r="T96" t="n">
        <v>2.241379310344827</v>
      </c>
      <c r="U96" t="n">
        <v>-45.84474885844749</v>
      </c>
      <c r="V96" t="n">
        <v>13184</v>
      </c>
      <c r="W96" t="n">
        <v>15164.5</v>
      </c>
      <c r="X96" t="n">
        <v>17935</v>
      </c>
      <c r="Y96" t="n">
        <v>0</v>
      </c>
      <c r="Z96" t="n">
        <v>0</v>
      </c>
      <c r="AA96" t="n">
        <v>0</v>
      </c>
      <c r="AB96" t="n">
        <v>10868.2481036322</v>
      </c>
      <c r="AC96" t="n">
        <v>27.5</v>
      </c>
      <c r="AD96" t="n">
        <v>59.5</v>
      </c>
      <c r="AE96" t="n">
        <v>43</v>
      </c>
      <c r="AF96" t="n">
        <v>46.6</v>
      </c>
      <c r="AG96" t="inlineStr">
        <is>
          <t>D</t>
        </is>
      </c>
    </row>
    <row r="97">
      <c r="A97" t="inlineStr">
        <is>
          <t>A475400</t>
        </is>
      </c>
      <c r="B97" t="inlineStr">
        <is>
          <t>씨메스</t>
        </is>
      </c>
      <c r="C97" t="inlineStr"/>
      <c r="D97" t="inlineStr"/>
      <c r="E97" t="n">
        <v>-58.8</v>
      </c>
      <c r="F97" t="n">
        <v>-101.2</v>
      </c>
      <c r="G97" t="n">
        <v>-430.3</v>
      </c>
      <c r="H97" t="n">
        <v>-71.3</v>
      </c>
      <c r="I97" t="n">
        <v>-116.7</v>
      </c>
      <c r="J97" t="n">
        <v>-81.09999999999999</v>
      </c>
      <c r="K97" t="n">
        <v>27550</v>
      </c>
      <c r="L97" t="n">
        <v>63191</v>
      </c>
      <c r="M97" t="n">
        <v>17.4091205</v>
      </c>
      <c r="N97" t="n">
        <v>174353</v>
      </c>
      <c r="O97" t="n">
        <v>0.3624313891931885</v>
      </c>
      <c r="P97" t="n">
        <v>6.031967910807345</v>
      </c>
      <c r="Q97" t="n">
        <v>42.80339705794436</v>
      </c>
      <c r="R97" t="n">
        <v>34.7004268311119</v>
      </c>
      <c r="S97" t="n">
        <v>8.1</v>
      </c>
      <c r="T97" t="n">
        <v>-2.304964539007093</v>
      </c>
      <c r="U97" t="n">
        <v>-23.25905292479109</v>
      </c>
      <c r="V97" t="n">
        <v>27945</v>
      </c>
      <c r="W97" t="n">
        <v>30367.5</v>
      </c>
      <c r="X97" t="n">
        <v>32135.83333333333</v>
      </c>
      <c r="Y97" t="n">
        <v>0</v>
      </c>
      <c r="Z97" t="n">
        <v>0</v>
      </c>
      <c r="AA97" t="n">
        <v>0</v>
      </c>
      <c r="AB97" t="n">
        <v>13090.01628401545</v>
      </c>
      <c r="AC97" t="n">
        <v>40.4</v>
      </c>
      <c r="AD97" t="n">
        <v>14.7</v>
      </c>
      <c r="AE97" t="n">
        <v>35.6</v>
      </c>
      <c r="AF97" t="n">
        <v>26.6</v>
      </c>
      <c r="AG97" t="inlineStr">
        <is>
          <t>F</t>
        </is>
      </c>
    </row>
    <row r="98">
      <c r="A98" t="inlineStr">
        <is>
          <t>A457370</t>
        </is>
      </c>
      <c r="B98" t="inlineStr">
        <is>
          <t>한켐</t>
        </is>
      </c>
      <c r="C98" t="inlineStr"/>
      <c r="D98" t="inlineStr"/>
      <c r="E98" t="n">
        <v>9.9</v>
      </c>
      <c r="F98" t="n">
        <v>41.9</v>
      </c>
      <c r="G98" t="n">
        <v>42.4</v>
      </c>
      <c r="H98" t="n">
        <v>145.3</v>
      </c>
      <c r="I98" t="n">
        <v>-157.2</v>
      </c>
      <c r="J98" t="n">
        <v>-150.3</v>
      </c>
      <c r="K98" t="n">
        <v>11290</v>
      </c>
      <c r="L98" t="n">
        <v>603831</v>
      </c>
      <c r="M98" t="n">
        <v>68.1725199</v>
      </c>
      <c r="N98" t="n">
        <v>1403514.2</v>
      </c>
      <c r="O98" t="n">
        <v>0.4302279235935055</v>
      </c>
      <c r="P98" t="n">
        <v>7.574256574882651</v>
      </c>
      <c r="Q98" t="n">
        <v>60.1125847289442</v>
      </c>
      <c r="R98" t="n">
        <v>64.61265157161277</v>
      </c>
      <c r="S98" t="n">
        <v>-4.5</v>
      </c>
      <c r="T98" t="n">
        <v>-4.078164825828379</v>
      </c>
      <c r="U98" t="n">
        <v>21.65948275862069</v>
      </c>
      <c r="V98" t="n">
        <v>10636</v>
      </c>
      <c r="W98" t="n">
        <v>9665</v>
      </c>
      <c r="X98" t="n">
        <v>8964.166666666666</v>
      </c>
      <c r="Y98" t="n">
        <v>1</v>
      </c>
      <c r="Z98" t="n">
        <v>1</v>
      </c>
      <c r="AA98" t="n">
        <v>1</v>
      </c>
      <c r="AB98" t="n">
        <v>6385.120861898598</v>
      </c>
      <c r="AC98" t="n">
        <v>71.5</v>
      </c>
      <c r="AD98" t="n">
        <v>67</v>
      </c>
      <c r="AE98" t="n">
        <v>46.7</v>
      </c>
      <c r="AF98" t="n">
        <v>64.3</v>
      </c>
      <c r="AG98" t="inlineStr">
        <is>
          <t>C</t>
        </is>
      </c>
    </row>
    <row r="99">
      <c r="A99" t="inlineStr">
        <is>
          <t>A474170</t>
        </is>
      </c>
      <c r="B99" t="inlineStr">
        <is>
          <t>루미르</t>
        </is>
      </c>
      <c r="C99" t="inlineStr"/>
      <c r="D99" t="inlineStr"/>
      <c r="E99" t="n">
        <v>-6.7</v>
      </c>
      <c r="F99" t="n">
        <v>-82.7</v>
      </c>
      <c r="G99" t="n">
        <v>25.4</v>
      </c>
      <c r="H99" t="n">
        <v>-25.2</v>
      </c>
      <c r="I99" t="n">
        <v>-51.9</v>
      </c>
      <c r="J99" t="n">
        <v>-423.5</v>
      </c>
      <c r="K99" t="n">
        <v>10600</v>
      </c>
      <c r="L99" t="n">
        <v>153112</v>
      </c>
      <c r="M99" t="n">
        <v>16.229872</v>
      </c>
      <c r="N99" t="n">
        <v>398473.1</v>
      </c>
      <c r="O99" t="n">
        <v>0.384246765967389</v>
      </c>
      <c r="P99" t="n">
        <v>5.678764895846361</v>
      </c>
      <c r="Q99" t="n">
        <v>33.79108186457927</v>
      </c>
      <c r="R99" t="n">
        <v>26.43061220333799</v>
      </c>
      <c r="S99" t="n">
        <v>7.4</v>
      </c>
      <c r="T99" t="n">
        <v>-0.1883239171374784</v>
      </c>
      <c r="U99" t="n">
        <v>-34.84941610325753</v>
      </c>
      <c r="V99" t="n">
        <v>12000</v>
      </c>
      <c r="W99" t="n">
        <v>13141.5</v>
      </c>
      <c r="X99" t="n">
        <v>14373.16666666667</v>
      </c>
      <c r="Y99" t="n">
        <v>0</v>
      </c>
      <c r="Z99" t="n">
        <v>0</v>
      </c>
      <c r="AA99" t="n">
        <v>0</v>
      </c>
      <c r="AB99" t="n">
        <v>6165.223690823776</v>
      </c>
      <c r="AC99" t="n">
        <v>31.3</v>
      </c>
      <c r="AD99" t="n">
        <v>26.3</v>
      </c>
      <c r="AE99" t="n">
        <v>38.5</v>
      </c>
      <c r="AF99" t="n">
        <v>30.2</v>
      </c>
      <c r="AG99" t="inlineStr">
        <is>
          <t>D</t>
        </is>
      </c>
    </row>
    <row r="100">
      <c r="A100" t="inlineStr">
        <is>
          <t>A209640</t>
        </is>
      </c>
      <c r="B100" t="inlineStr">
        <is>
          <t>와이제이링크</t>
        </is>
      </c>
      <c r="C100" t="inlineStr"/>
      <c r="D100" t="inlineStr"/>
      <c r="E100" t="n">
        <v>0</v>
      </c>
      <c r="F100" t="n">
        <v>0.2</v>
      </c>
      <c r="G100" t="n">
        <v>0</v>
      </c>
      <c r="H100" t="n">
        <v>66.5</v>
      </c>
      <c r="I100" t="n">
        <v>182</v>
      </c>
      <c r="J100" t="n">
        <v>122.6</v>
      </c>
      <c r="K100" t="n">
        <v>5980</v>
      </c>
      <c r="L100" t="n">
        <v>656656</v>
      </c>
      <c r="M100" t="n">
        <v>39.2680288</v>
      </c>
      <c r="N100" t="n">
        <v>1582477.65</v>
      </c>
      <c r="O100" t="n">
        <v>0.4149543597029633</v>
      </c>
      <c r="P100" t="n">
        <v>7.628140094168466</v>
      </c>
      <c r="Q100" t="n">
        <v>37.41689293175964</v>
      </c>
      <c r="R100" t="n">
        <v>37.02765802853035</v>
      </c>
      <c r="S100" t="n">
        <v>0.4</v>
      </c>
      <c r="T100" t="n">
        <v>0</v>
      </c>
      <c r="U100" t="n">
        <v>-31.02652825836217</v>
      </c>
      <c r="V100" t="n">
        <v>7413</v>
      </c>
      <c r="W100" t="n">
        <v>8077</v>
      </c>
      <c r="X100" t="n">
        <v>6160.416666666667</v>
      </c>
      <c r="Y100" t="n">
        <v>0</v>
      </c>
      <c r="Z100" t="n">
        <v>0</v>
      </c>
      <c r="AA100" t="n">
        <v>0</v>
      </c>
      <c r="AB100" t="n">
        <v>4374.97380443287</v>
      </c>
      <c r="AC100" t="n">
        <v>40.8</v>
      </c>
      <c r="AD100" t="n">
        <v>75.7</v>
      </c>
      <c r="AE100" t="n">
        <v>43.7</v>
      </c>
      <c r="AF100" t="n">
        <v>58.8</v>
      </c>
      <c r="AG100" t="inlineStr">
        <is>
          <t>C</t>
        </is>
      </c>
    </row>
    <row r="101">
      <c r="A101" t="inlineStr">
        <is>
          <t>A465480</t>
        </is>
      </c>
      <c r="B101" t="inlineStr">
        <is>
          <t>인스피언</t>
        </is>
      </c>
      <c r="C101" t="inlineStr"/>
      <c r="D101" t="inlineStr"/>
      <c r="E101" t="n">
        <v>0.1</v>
      </c>
      <c r="F101" t="n">
        <v>24.5</v>
      </c>
      <c r="G101" t="n">
        <v>127.3</v>
      </c>
      <c r="H101" t="n">
        <v>2.9</v>
      </c>
      <c r="I101" t="n">
        <v>4.6</v>
      </c>
      <c r="J101" t="n">
        <v>-36.5</v>
      </c>
      <c r="K101" t="n">
        <v>4780</v>
      </c>
      <c r="L101" t="n">
        <v>22624</v>
      </c>
      <c r="M101" t="n">
        <v>1.0814272</v>
      </c>
      <c r="N101" t="n">
        <v>450863.1</v>
      </c>
      <c r="O101" t="n">
        <v>0.05017931163583802</v>
      </c>
      <c r="P101" t="n">
        <v>3.98343729201568</v>
      </c>
      <c r="Q101" t="n">
        <v>33.66236909369229</v>
      </c>
      <c r="R101" t="n">
        <v>39.66382538933385</v>
      </c>
      <c r="S101" t="n">
        <v>-6</v>
      </c>
      <c r="T101" t="n">
        <v>-3.434343434343434</v>
      </c>
      <c r="U101" t="n">
        <v>-18.56899488926746</v>
      </c>
      <c r="V101" t="n">
        <v>5536</v>
      </c>
      <c r="W101" t="n">
        <v>5704</v>
      </c>
      <c r="X101" t="n">
        <v>5485.166666666667</v>
      </c>
      <c r="Y101" t="n">
        <v>0</v>
      </c>
      <c r="Z101" t="n">
        <v>0</v>
      </c>
      <c r="AA101" t="n">
        <v>0</v>
      </c>
      <c r="AB101" t="n">
        <v>1708.598687136406</v>
      </c>
      <c r="AC101" t="n">
        <v>36.2</v>
      </c>
      <c r="AD101" t="n">
        <v>64.5</v>
      </c>
      <c r="AE101" t="n">
        <v>1.5</v>
      </c>
      <c r="AF101" t="n">
        <v>43.4</v>
      </c>
      <c r="AG101" t="inlineStr">
        <is>
          <t>D</t>
        </is>
      </c>
    </row>
    <row r="102">
      <c r="A102" t="inlineStr">
        <is>
          <t>A308430</t>
        </is>
      </c>
      <c r="B102" t="inlineStr">
        <is>
          <t>셀비온</t>
        </is>
      </c>
      <c r="C102" t="inlineStr"/>
      <c r="D102" t="inlineStr"/>
      <c r="E102" t="n">
        <v>4</v>
      </c>
      <c r="F102" t="n">
        <v>1.5</v>
      </c>
      <c r="G102" t="n">
        <v>151.7</v>
      </c>
      <c r="H102" t="n">
        <v>41.9</v>
      </c>
      <c r="I102" t="n">
        <v>171.1</v>
      </c>
      <c r="J102" t="n">
        <v>-22.8</v>
      </c>
      <c r="K102" t="n">
        <v>19170</v>
      </c>
      <c r="L102" t="n">
        <v>76639</v>
      </c>
      <c r="M102" t="n">
        <v>14.6916963</v>
      </c>
      <c r="N102" t="n">
        <v>120909.9</v>
      </c>
      <c r="O102" t="n">
        <v>0.6338521494104288</v>
      </c>
      <c r="P102" t="n">
        <v>4.297739482499726</v>
      </c>
      <c r="Q102" t="n">
        <v>20.82335022934055</v>
      </c>
      <c r="R102" t="n">
        <v>4.304378017169294</v>
      </c>
      <c r="S102" t="n">
        <v>16.5</v>
      </c>
      <c r="T102" t="n">
        <v>-1.185567010309274</v>
      </c>
      <c r="U102" t="n">
        <v>-46.6759388038943</v>
      </c>
      <c r="V102" t="n">
        <v>22562</v>
      </c>
      <c r="W102" t="n">
        <v>25331</v>
      </c>
      <c r="X102" t="n">
        <v>29544.5</v>
      </c>
      <c r="Y102" t="n">
        <v>0</v>
      </c>
      <c r="Z102" t="n">
        <v>0</v>
      </c>
      <c r="AA102" t="n">
        <v>0</v>
      </c>
      <c r="AB102" t="n">
        <v>14096.81352572081</v>
      </c>
      <c r="AC102" t="n">
        <v>12</v>
      </c>
      <c r="AD102" t="n">
        <v>78.5</v>
      </c>
      <c r="AE102" t="n">
        <v>68.90000000000001</v>
      </c>
      <c r="AF102" t="n">
        <v>56.6</v>
      </c>
      <c r="AG102" t="inlineStr">
        <is>
          <t>C</t>
        </is>
      </c>
    </row>
    <row r="103">
      <c r="A103" t="inlineStr">
        <is>
          <t>A381620</t>
        </is>
      </c>
      <c r="B103" t="inlineStr">
        <is>
          <t>제닉스로보틱스</t>
        </is>
      </c>
      <c r="C103" t="inlineStr"/>
      <c r="D103" t="inlineStr"/>
      <c r="E103" t="n">
        <v>0</v>
      </c>
      <c r="F103" t="n">
        <v>-42.6</v>
      </c>
      <c r="G103" t="n">
        <v>9.800000000000001</v>
      </c>
      <c r="H103" t="n">
        <v>-25.3</v>
      </c>
      <c r="I103" t="n">
        <v>-237.9</v>
      </c>
      <c r="J103" t="n">
        <v>-360.1</v>
      </c>
      <c r="K103" t="n">
        <v>9840</v>
      </c>
      <c r="L103" t="n">
        <v>276058</v>
      </c>
      <c r="M103" t="n">
        <v>27.1641072</v>
      </c>
      <c r="N103" t="n">
        <v>2046174.05</v>
      </c>
      <c r="O103" t="n">
        <v>0.1349142317585349</v>
      </c>
      <c r="P103" t="n">
        <v>6.725234942012051</v>
      </c>
      <c r="Q103" t="n">
        <v>41.85556381078749</v>
      </c>
      <c r="R103" t="n">
        <v>35.8184370617239</v>
      </c>
      <c r="S103" t="n">
        <v>6</v>
      </c>
      <c r="T103" t="n">
        <v>-4.000000000000004</v>
      </c>
      <c r="U103" t="n">
        <v>-2.284011916583913</v>
      </c>
      <c r="V103" t="n">
        <v>11704</v>
      </c>
      <c r="W103" t="n">
        <v>11564.5</v>
      </c>
      <c r="X103" t="n">
        <v>10137</v>
      </c>
      <c r="Y103" t="n">
        <v>0</v>
      </c>
      <c r="Z103" t="n">
        <v>0</v>
      </c>
      <c r="AA103" t="n">
        <v>0</v>
      </c>
      <c r="AB103" t="n">
        <v>4445.969907798808</v>
      </c>
      <c r="AC103" t="n">
        <v>45.5</v>
      </c>
      <c r="AD103" t="n">
        <v>31.7</v>
      </c>
      <c r="AE103" t="n">
        <v>4.4</v>
      </c>
      <c r="AF103" t="n">
        <v>30.4</v>
      </c>
      <c r="AG103" t="inlineStr">
        <is>
          <t>D</t>
        </is>
      </c>
    </row>
    <row r="104">
      <c r="A104" t="inlineStr">
        <is>
          <t>A464500</t>
        </is>
      </c>
      <c r="B104" t="inlineStr">
        <is>
          <t>아이언디바이스</t>
        </is>
      </c>
      <c r="C104" t="inlineStr"/>
      <c r="D104" t="inlineStr"/>
      <c r="E104" t="n">
        <v>-0.2</v>
      </c>
      <c r="F104" t="n">
        <v>-0</v>
      </c>
      <c r="G104" t="n">
        <v>-1.1</v>
      </c>
      <c r="H104" t="n">
        <v>12.1</v>
      </c>
      <c r="I104" t="n">
        <v>-25.9</v>
      </c>
      <c r="J104" t="n">
        <v>7.1</v>
      </c>
      <c r="K104" t="n">
        <v>2490</v>
      </c>
      <c r="L104" t="n">
        <v>121592</v>
      </c>
      <c r="M104" t="n">
        <v>3.0276408</v>
      </c>
      <c r="N104" t="n">
        <v>232656.85</v>
      </c>
      <c r="O104" t="n">
        <v>0.5226237697278202</v>
      </c>
      <c r="P104" t="n">
        <v>4.916860653293123</v>
      </c>
      <c r="Q104" t="n">
        <v>28.39242256124363</v>
      </c>
      <c r="R104" t="n">
        <v>41.5690483252186</v>
      </c>
      <c r="S104" t="n">
        <v>-13.2</v>
      </c>
      <c r="T104" t="n">
        <v>-2.734375</v>
      </c>
      <c r="U104" t="n">
        <v>-33.86454183266932</v>
      </c>
      <c r="V104" t="n">
        <v>3042.5</v>
      </c>
      <c r="W104" t="n">
        <v>3324.5</v>
      </c>
      <c r="X104" t="n">
        <v>3424</v>
      </c>
      <c r="Y104" t="n">
        <v>0</v>
      </c>
      <c r="Z104" t="n">
        <v>0</v>
      </c>
      <c r="AA104" t="n">
        <v>0</v>
      </c>
      <c r="AB104" t="n">
        <v>1635.422366176235</v>
      </c>
      <c r="AC104" t="n">
        <v>20.1</v>
      </c>
      <c r="AD104" t="n">
        <v>52.4</v>
      </c>
      <c r="AE104" t="n">
        <v>55.6</v>
      </c>
      <c r="AF104" t="n">
        <v>43.3</v>
      </c>
      <c r="AG104" t="inlineStr">
        <is>
          <t>D</t>
        </is>
      </c>
    </row>
    <row r="105">
      <c r="A105" t="inlineStr">
        <is>
          <t>A461300</t>
        </is>
      </c>
      <c r="B105" t="inlineStr">
        <is>
          <t>아이스크림미디어</t>
        </is>
      </c>
      <c r="C105" t="inlineStr"/>
      <c r="D105" t="inlineStr"/>
      <c r="E105" t="n">
        <v>-8.800000000000001</v>
      </c>
      <c r="F105" t="n">
        <v>-173.1</v>
      </c>
      <c r="G105" t="n">
        <v>-252</v>
      </c>
      <c r="H105" t="n">
        <v>26.2</v>
      </c>
      <c r="I105" t="n">
        <v>80.8</v>
      </c>
      <c r="J105" t="n">
        <v>129.6</v>
      </c>
      <c r="K105" t="n">
        <v>16730</v>
      </c>
      <c r="L105" t="n">
        <v>64062</v>
      </c>
      <c r="M105" t="n">
        <v>10.7175726</v>
      </c>
      <c r="N105" t="n">
        <v>67803.05</v>
      </c>
      <c r="O105" t="n">
        <v>0.9448247534587308</v>
      </c>
      <c r="P105" t="n">
        <v>2.707899673992769</v>
      </c>
      <c r="Q105" t="n">
        <v>44.80855522960361</v>
      </c>
      <c r="R105" t="n">
        <v>26.78738891904314</v>
      </c>
      <c r="S105" t="n">
        <v>18</v>
      </c>
      <c r="T105" t="n">
        <v>-0.4166666666666652</v>
      </c>
      <c r="U105" t="n">
        <v>-8.877995642701524</v>
      </c>
      <c r="V105" t="n">
        <v>17282</v>
      </c>
      <c r="W105" t="n">
        <v>17469</v>
      </c>
      <c r="X105" t="n">
        <v>17023</v>
      </c>
      <c r="Y105" t="n">
        <v>0</v>
      </c>
      <c r="Z105" t="n">
        <v>0</v>
      </c>
      <c r="AA105" t="n">
        <v>0</v>
      </c>
      <c r="AB105" t="n">
        <v>2409.55641255049</v>
      </c>
      <c r="AC105" t="n">
        <v>55.9</v>
      </c>
      <c r="AD105" t="n">
        <v>48.1</v>
      </c>
      <c r="AE105" t="n">
        <v>86.7</v>
      </c>
      <c r="AF105" t="n">
        <v>58.2</v>
      </c>
      <c r="AG105" t="inlineStr">
        <is>
          <t>C</t>
        </is>
      </c>
    </row>
    <row r="106">
      <c r="A106" t="inlineStr">
        <is>
          <t>A456070</t>
        </is>
      </c>
      <c r="B106" t="inlineStr">
        <is>
          <t>이엔셀</t>
        </is>
      </c>
      <c r="C106" t="inlineStr"/>
      <c r="D106" t="inlineStr"/>
      <c r="E106" t="n">
        <v>0.8</v>
      </c>
      <c r="F106" t="n">
        <v>10.5</v>
      </c>
      <c r="G106" t="n">
        <v>6.7</v>
      </c>
      <c r="H106" t="n">
        <v>14.5</v>
      </c>
      <c r="I106" t="n">
        <v>-16.8</v>
      </c>
      <c r="J106" t="n">
        <v>-29.3</v>
      </c>
      <c r="K106" t="n">
        <v>9780</v>
      </c>
      <c r="L106" t="n">
        <v>51005</v>
      </c>
      <c r="M106" t="n">
        <v>4.988289</v>
      </c>
      <c r="N106" t="n">
        <v>116738.6</v>
      </c>
      <c r="O106" t="n">
        <v>0.4369163241635586</v>
      </c>
      <c r="P106" t="n">
        <v>3.662766078528408</v>
      </c>
      <c r="Q106" t="n">
        <v>25.87944164062723</v>
      </c>
      <c r="R106" t="n">
        <v>15.85835231221255</v>
      </c>
      <c r="S106" t="n">
        <v>10</v>
      </c>
      <c r="T106" t="n">
        <v>1.768990634755463</v>
      </c>
      <c r="U106" t="n">
        <v>-35.91087811271297</v>
      </c>
      <c r="V106" t="n">
        <v>10715</v>
      </c>
      <c r="W106" t="n">
        <v>11929</v>
      </c>
      <c r="X106" t="n">
        <v>14226.66666666667</v>
      </c>
      <c r="Y106" t="n">
        <v>0</v>
      </c>
      <c r="Z106" t="n">
        <v>0</v>
      </c>
      <c r="AA106" t="n">
        <v>0</v>
      </c>
      <c r="AB106" t="n">
        <v>6198.647051023159</v>
      </c>
      <c r="AC106" t="n">
        <v>32.8</v>
      </c>
      <c r="AD106" t="n">
        <v>63.4</v>
      </c>
      <c r="AE106" t="n">
        <v>48.1</v>
      </c>
      <c r="AF106" t="n">
        <v>51.2</v>
      </c>
      <c r="AG106" t="inlineStr">
        <is>
          <t>C</t>
        </is>
      </c>
    </row>
    <row r="107">
      <c r="A107" t="inlineStr">
        <is>
          <t>A476080</t>
        </is>
      </c>
      <c r="B107" t="inlineStr">
        <is>
          <t>M83</t>
        </is>
      </c>
      <c r="C107" t="inlineStr"/>
      <c r="D107" t="inlineStr"/>
      <c r="E107" t="n">
        <v>-0</v>
      </c>
      <c r="F107" t="n">
        <v>-0.3</v>
      </c>
      <c r="G107" t="n">
        <v>-0.3</v>
      </c>
      <c r="H107" t="n">
        <v>1.9</v>
      </c>
      <c r="I107" t="n">
        <v>-0.7</v>
      </c>
      <c r="J107" t="n">
        <v>-33.7</v>
      </c>
      <c r="K107" t="n">
        <v>7760</v>
      </c>
      <c r="L107" t="n">
        <v>255851</v>
      </c>
      <c r="M107" t="n">
        <v>19.8540376</v>
      </c>
      <c r="N107" t="n">
        <v>64930.4</v>
      </c>
      <c r="O107" t="n">
        <v>3.940388477508224</v>
      </c>
      <c r="P107" t="n">
        <v>8.5578053251462</v>
      </c>
      <c r="Q107" t="n">
        <v>65.95034493601457</v>
      </c>
      <c r="R107" t="n">
        <v>40.92280314926256</v>
      </c>
      <c r="S107" t="n">
        <v>25</v>
      </c>
      <c r="T107" t="n">
        <v>29.98324958123952</v>
      </c>
      <c r="U107" t="n">
        <v>8.835904628330995</v>
      </c>
      <c r="V107" t="n">
        <v>5618</v>
      </c>
      <c r="W107" t="n">
        <v>5929</v>
      </c>
      <c r="X107" t="n">
        <v>6425.333333333333</v>
      </c>
      <c r="Y107" t="n">
        <v>1</v>
      </c>
      <c r="Z107" t="n">
        <v>1</v>
      </c>
      <c r="AA107" t="n">
        <v>1</v>
      </c>
      <c r="AB107" t="n">
        <v>2914.967545183601</v>
      </c>
      <c r="AC107" t="n">
        <v>98.09999999999999</v>
      </c>
      <c r="AD107" t="n">
        <v>49.8</v>
      </c>
      <c r="AE107" t="n">
        <v>100</v>
      </c>
      <c r="AF107" t="n">
        <v>74.3</v>
      </c>
      <c r="AG107" t="inlineStr">
        <is>
          <t>B</t>
        </is>
      </c>
    </row>
    <row r="108">
      <c r="A108" t="inlineStr">
        <is>
          <t>A464280</t>
        </is>
      </c>
      <c r="B108" t="inlineStr">
        <is>
          <t>티디에스팜</t>
        </is>
      </c>
      <c r="C108" t="inlineStr"/>
      <c r="D108" t="inlineStr"/>
      <c r="E108" t="n">
        <v>0</v>
      </c>
      <c r="F108" t="n">
        <v>2</v>
      </c>
      <c r="G108" t="n">
        <v>5.8</v>
      </c>
      <c r="H108" t="n">
        <v>0.1</v>
      </c>
      <c r="I108" t="n">
        <v>-15.8</v>
      </c>
      <c r="J108" t="n">
        <v>-35.8</v>
      </c>
      <c r="K108" t="n">
        <v>7010</v>
      </c>
      <c r="L108" t="n">
        <v>29865</v>
      </c>
      <c r="M108" t="n">
        <v>2.0935365</v>
      </c>
      <c r="N108" t="n">
        <v>35596.85</v>
      </c>
      <c r="O108" t="n">
        <v>0.8389787298595242</v>
      </c>
      <c r="P108" t="n">
        <v>3.000764860728244</v>
      </c>
      <c r="Q108" t="n">
        <v>30.17775756848875</v>
      </c>
      <c r="R108" t="n">
        <v>21.81480380144431</v>
      </c>
      <c r="S108" t="n">
        <v>8.4</v>
      </c>
      <c r="T108" t="n">
        <v>-0.5673758865248235</v>
      </c>
      <c r="U108" t="n">
        <v>-20.9695603156708</v>
      </c>
      <c r="V108" t="n">
        <v>7694</v>
      </c>
      <c r="W108" t="n">
        <v>8025.5</v>
      </c>
      <c r="X108" t="n">
        <v>8547.5</v>
      </c>
      <c r="Y108" t="n">
        <v>0</v>
      </c>
      <c r="Z108" t="n">
        <v>0</v>
      </c>
      <c r="AA108" t="n">
        <v>0</v>
      </c>
      <c r="AB108" t="n">
        <v>2069.995169076487</v>
      </c>
      <c r="AC108" t="n">
        <v>40</v>
      </c>
      <c r="AD108" t="n">
        <v>53.7</v>
      </c>
      <c r="AE108" t="n">
        <v>80.7</v>
      </c>
      <c r="AF108" t="n">
        <v>55</v>
      </c>
      <c r="AG108" t="inlineStr">
        <is>
          <t>C</t>
        </is>
      </c>
    </row>
    <row r="109">
      <c r="A109" t="inlineStr">
        <is>
          <t>A431190</t>
        </is>
      </c>
      <c r="B109" t="inlineStr">
        <is>
          <t>케이쓰리아이</t>
        </is>
      </c>
      <c r="C109" t="inlineStr"/>
      <c r="D109" t="inlineStr"/>
      <c r="E109" t="n">
        <v>-0.2</v>
      </c>
      <c r="F109" t="n">
        <v>-0</v>
      </c>
      <c r="G109" t="n">
        <v>-0</v>
      </c>
      <c r="H109" t="n">
        <v>5.4</v>
      </c>
      <c r="I109" t="n">
        <v>9.300000000000001</v>
      </c>
      <c r="J109" t="n">
        <v>17.4</v>
      </c>
      <c r="K109" t="n">
        <v>2890</v>
      </c>
      <c r="L109" t="n">
        <v>26515</v>
      </c>
      <c r="M109" t="n">
        <v>0.7662835</v>
      </c>
      <c r="N109" t="n">
        <v>47964.2</v>
      </c>
      <c r="O109" t="n">
        <v>0.5528081360681508</v>
      </c>
      <c r="P109" t="n">
        <v>3.176400036604559</v>
      </c>
      <c r="Q109" t="n">
        <v>18.54381207614989</v>
      </c>
      <c r="R109" t="n">
        <v>10.12064637927288</v>
      </c>
      <c r="S109" t="n">
        <v>8.4</v>
      </c>
      <c r="T109" t="n">
        <v>0.3472222222222321</v>
      </c>
      <c r="U109" t="n">
        <v>-38.18181818181819</v>
      </c>
      <c r="V109" t="n">
        <v>3525</v>
      </c>
      <c r="W109" t="n">
        <v>3893</v>
      </c>
      <c r="X109" t="n">
        <v>4181.083333333333</v>
      </c>
      <c r="Y109" t="n">
        <v>0</v>
      </c>
      <c r="Z109" t="n">
        <v>0</v>
      </c>
      <c r="AA109" t="n">
        <v>0</v>
      </c>
      <c r="AB109" t="n">
        <v>2044.035224745403</v>
      </c>
      <c r="AC109" t="n">
        <v>21.8</v>
      </c>
      <c r="AD109" t="n">
        <v>57.9</v>
      </c>
      <c r="AE109" t="n">
        <v>57.8</v>
      </c>
      <c r="AF109" t="n">
        <v>47.1</v>
      </c>
      <c r="AG109" t="inlineStr">
        <is>
          <t>D</t>
        </is>
      </c>
    </row>
    <row r="110">
      <c r="A110" t="inlineStr">
        <is>
          <t>A389650</t>
        </is>
      </c>
      <c r="B110" t="inlineStr">
        <is>
          <t>넥스트바이오메디컬</t>
        </is>
      </c>
      <c r="C110" t="inlineStr"/>
      <c r="D110" t="inlineStr"/>
      <c r="E110" t="n">
        <v>-8.1</v>
      </c>
      <c r="F110" t="n">
        <v>-83.90000000000001</v>
      </c>
      <c r="G110" t="n">
        <v>-65.2</v>
      </c>
      <c r="H110" t="n">
        <v>-80.09999999999999</v>
      </c>
      <c r="I110" t="n">
        <v>264.6</v>
      </c>
      <c r="J110" t="n">
        <v>1029.7</v>
      </c>
      <c r="K110" t="n">
        <v>41850</v>
      </c>
      <c r="L110" t="n">
        <v>70328</v>
      </c>
      <c r="M110" t="n">
        <v>29.432268</v>
      </c>
      <c r="N110" t="n">
        <v>77598.35000000001</v>
      </c>
      <c r="O110" t="n">
        <v>0.9063079305165638</v>
      </c>
      <c r="P110" t="n">
        <v>3.367211096051569</v>
      </c>
      <c r="Q110" t="n">
        <v>27.40089671387138</v>
      </c>
      <c r="R110" t="n">
        <v>17.57268896720598</v>
      </c>
      <c r="S110" t="n">
        <v>9.800000000000001</v>
      </c>
      <c r="T110" t="n">
        <v>-1.529411764705879</v>
      </c>
      <c r="U110" t="n">
        <v>-30.82644628099174</v>
      </c>
      <c r="V110" t="n">
        <v>44390</v>
      </c>
      <c r="W110" t="n">
        <v>49255</v>
      </c>
      <c r="X110" t="n">
        <v>61755</v>
      </c>
      <c r="Y110" t="n">
        <v>0</v>
      </c>
      <c r="Z110" t="n">
        <v>0</v>
      </c>
      <c r="AA110" t="n">
        <v>0</v>
      </c>
      <c r="AB110" t="n">
        <v>23490.81791500197</v>
      </c>
      <c r="AC110" t="n">
        <v>25.2</v>
      </c>
      <c r="AD110" t="n">
        <v>40.9</v>
      </c>
      <c r="AE110" t="n">
        <v>85.2</v>
      </c>
      <c r="AF110" t="n">
        <v>45</v>
      </c>
      <c r="AG110" t="inlineStr">
        <is>
          <t>D</t>
        </is>
      </c>
    </row>
    <row r="111">
      <c r="A111" t="inlineStr">
        <is>
          <t>A079900</t>
        </is>
      </c>
      <c r="B111" t="inlineStr">
        <is>
          <t>전진건설로봇</t>
        </is>
      </c>
      <c r="C111" t="inlineStr"/>
      <c r="D111" t="inlineStr"/>
      <c r="E111" t="n">
        <v>3.2</v>
      </c>
      <c r="F111" t="n">
        <v>-30.2</v>
      </c>
      <c r="G111" t="n">
        <v>-213.9</v>
      </c>
      <c r="H111" t="n">
        <v>-6.8</v>
      </c>
      <c r="I111" t="n">
        <v>-63.1</v>
      </c>
      <c r="J111" t="n">
        <v>-148.6</v>
      </c>
      <c r="K111" t="n">
        <v>55300</v>
      </c>
      <c r="L111" t="n">
        <v>29801</v>
      </c>
      <c r="M111" t="n">
        <v>16.479953</v>
      </c>
      <c r="N111" t="n">
        <v>133614.1</v>
      </c>
      <c r="O111" t="n">
        <v>0.2230378380724789</v>
      </c>
      <c r="P111" t="n">
        <v>4.037969387273241</v>
      </c>
      <c r="Q111" t="n">
        <v>40.69698385423436</v>
      </c>
      <c r="R111" t="n">
        <v>34.99252346719103</v>
      </c>
      <c r="S111" t="n">
        <v>5.7</v>
      </c>
      <c r="T111" t="n">
        <v>-1.073345259391767</v>
      </c>
      <c r="U111" t="n">
        <v>-13.4585289514867</v>
      </c>
      <c r="V111" t="n">
        <v>57890</v>
      </c>
      <c r="W111" t="n">
        <v>60190</v>
      </c>
      <c r="X111" t="n">
        <v>60243.33333333334</v>
      </c>
      <c r="Y111" t="n">
        <v>0</v>
      </c>
      <c r="Z111" t="n">
        <v>0</v>
      </c>
      <c r="AA111" t="n">
        <v>0</v>
      </c>
      <c r="AB111" t="n">
        <v>17007.19352447498</v>
      </c>
      <c r="AC111" t="n">
        <v>50.9</v>
      </c>
      <c r="AD111" t="n">
        <v>34.8</v>
      </c>
      <c r="AE111" t="n">
        <v>11.1</v>
      </c>
      <c r="AF111" t="n">
        <v>34.9</v>
      </c>
      <c r="AG111" t="inlineStr">
        <is>
          <t>D</t>
        </is>
      </c>
    </row>
    <row r="112">
      <c r="A112" t="inlineStr">
        <is>
          <t>A088340</t>
        </is>
      </c>
      <c r="B112" t="inlineStr">
        <is>
          <t>유라클</t>
        </is>
      </c>
      <c r="C112" t="inlineStr"/>
      <c r="D112" t="inlineStr"/>
      <c r="E112" t="n">
        <v>-0.1</v>
      </c>
      <c r="F112" t="n">
        <v>-0</v>
      </c>
      <c r="G112" t="n">
        <v>-0.1</v>
      </c>
      <c r="H112" t="n">
        <v>2</v>
      </c>
      <c r="I112" t="n">
        <v>9.9</v>
      </c>
      <c r="J112" t="n">
        <v>19.2</v>
      </c>
      <c r="K112" t="n">
        <v>9580</v>
      </c>
      <c r="L112" t="n">
        <v>18036</v>
      </c>
      <c r="M112" t="n">
        <v>1.7278488</v>
      </c>
      <c r="N112" t="n">
        <v>63090.7</v>
      </c>
      <c r="O112" t="n">
        <v>0.2858741462687845</v>
      </c>
      <c r="P112" t="n">
        <v>4.010898366784686</v>
      </c>
      <c r="Q112" t="n">
        <v>30.90333130436671</v>
      </c>
      <c r="R112" t="n">
        <v>17.42863968936205</v>
      </c>
      <c r="S112" t="n">
        <v>13.5</v>
      </c>
      <c r="T112" t="n">
        <v>-0.1042752867570385</v>
      </c>
      <c r="U112" t="n">
        <v>-27.58881330309902</v>
      </c>
      <c r="V112" t="n">
        <v>10138</v>
      </c>
      <c r="W112" t="n">
        <v>10836</v>
      </c>
      <c r="X112" t="n">
        <v>11810.66666666667</v>
      </c>
      <c r="Y112" t="n">
        <v>0</v>
      </c>
      <c r="Z112" t="n">
        <v>0</v>
      </c>
      <c r="AA112" t="n">
        <v>0</v>
      </c>
      <c r="AB112" t="n">
        <v>3708.752663064697</v>
      </c>
      <c r="AC112" t="n">
        <v>37.4</v>
      </c>
      <c r="AD112" t="n">
        <v>56.1</v>
      </c>
      <c r="AE112" t="n">
        <v>19.3</v>
      </c>
      <c r="AF112" t="n">
        <v>43.1</v>
      </c>
      <c r="AG112" t="inlineStr">
        <is>
          <t>D</t>
        </is>
      </c>
    </row>
    <row r="113">
      <c r="A113" t="inlineStr">
        <is>
          <t>A199480</t>
        </is>
      </c>
      <c r="B113" t="inlineStr">
        <is>
          <t>뱅크웨어글로벌</t>
        </is>
      </c>
      <c r="C113" t="inlineStr"/>
      <c r="D113" t="inlineStr"/>
      <c r="E113" t="n">
        <v>-0</v>
      </c>
      <c r="F113" t="n">
        <v>0</v>
      </c>
      <c r="G113" t="n">
        <v>0</v>
      </c>
      <c r="H113" t="n">
        <v>-0.9</v>
      </c>
      <c r="I113" t="n">
        <v>-6.6</v>
      </c>
      <c r="J113" t="n">
        <v>-20.6</v>
      </c>
      <c r="K113" t="n">
        <v>3760</v>
      </c>
      <c r="L113" t="n">
        <v>17125</v>
      </c>
      <c r="M113" t="n">
        <v>0.6439</v>
      </c>
      <c r="N113" t="n">
        <v>43528.15</v>
      </c>
      <c r="O113" t="n">
        <v>0.3934235661290452</v>
      </c>
      <c r="P113" t="n">
        <v>1.812420395664296</v>
      </c>
      <c r="Q113" t="n">
        <v>20.60333084732654</v>
      </c>
      <c r="R113" t="n">
        <v>11.97077923676238</v>
      </c>
      <c r="S113" t="n">
        <v>8.6</v>
      </c>
      <c r="T113" t="n">
        <v>-1.441677588466583</v>
      </c>
      <c r="U113" t="n">
        <v>-25.3968253968254</v>
      </c>
      <c r="V113" t="n">
        <v>4042.5</v>
      </c>
      <c r="W113" t="n">
        <v>4312.25</v>
      </c>
      <c r="X113" t="n">
        <v>4636.166666666667</v>
      </c>
      <c r="Y113" t="n">
        <v>0</v>
      </c>
      <c r="Z113" t="n">
        <v>0</v>
      </c>
      <c r="AA113" t="n">
        <v>0</v>
      </c>
      <c r="AB113" t="n">
        <v>1418.174883432928</v>
      </c>
      <c r="AC113" t="n">
        <v>27.1</v>
      </c>
      <c r="AD113" t="n">
        <v>51.8</v>
      </c>
      <c r="AE113" t="n">
        <v>39.3</v>
      </c>
      <c r="AF113" t="n">
        <v>41.9</v>
      </c>
      <c r="AG113" t="inlineStr">
        <is>
          <t>D</t>
        </is>
      </c>
    </row>
    <row r="114">
      <c r="A114" t="inlineStr">
        <is>
          <t>A460470</t>
        </is>
      </c>
      <c r="B114" t="inlineStr">
        <is>
          <t>아이빔테크놀로지</t>
        </is>
      </c>
      <c r="C114" t="inlineStr"/>
      <c r="D114" t="inlineStr"/>
      <c r="E114" t="n">
        <v>-0</v>
      </c>
      <c r="F114" t="n">
        <v>0</v>
      </c>
      <c r="G114" t="n">
        <v>2.9</v>
      </c>
      <c r="H114" t="n">
        <v>-5.9</v>
      </c>
      <c r="I114" t="n">
        <v>-50.8</v>
      </c>
      <c r="J114" t="n">
        <v>-58.8</v>
      </c>
      <c r="K114" t="n">
        <v>3745</v>
      </c>
      <c r="L114" t="n">
        <v>58437</v>
      </c>
      <c r="M114" t="n">
        <v>2.18846565</v>
      </c>
      <c r="N114" t="n">
        <v>246055.15</v>
      </c>
      <c r="O114" t="n">
        <v>0.2374955370777649</v>
      </c>
      <c r="P114" t="n">
        <v>6.207002263859581</v>
      </c>
      <c r="Q114" t="n">
        <v>45.5868719267653</v>
      </c>
      <c r="R114" t="n">
        <v>67.24219043841239</v>
      </c>
      <c r="S114" t="n">
        <v>-21.7</v>
      </c>
      <c r="T114" t="n">
        <v>0.1336898395721819</v>
      </c>
      <c r="U114" t="n">
        <v>1.490514905149051</v>
      </c>
      <c r="V114" t="n">
        <v>4017.5</v>
      </c>
      <c r="W114" t="n">
        <v>4129.5</v>
      </c>
      <c r="X114" t="n">
        <v>3684.25</v>
      </c>
      <c r="Y114" t="n">
        <v>0</v>
      </c>
      <c r="Z114" t="n">
        <v>0</v>
      </c>
      <c r="AA114" t="n">
        <v>1</v>
      </c>
      <c r="AB114" t="n">
        <v>1262.410392859627</v>
      </c>
      <c r="AC114" t="n">
        <v>61.4</v>
      </c>
      <c r="AD114" t="n">
        <v>45.3</v>
      </c>
      <c r="AE114" t="n">
        <v>14.1</v>
      </c>
      <c r="AF114" t="n">
        <v>43.9</v>
      </c>
      <c r="AG114" t="inlineStr">
        <is>
          <t>D</t>
        </is>
      </c>
    </row>
    <row r="115">
      <c r="A115" t="inlineStr">
        <is>
          <t>A460940</t>
        </is>
      </c>
      <c r="B115" t="inlineStr">
        <is>
          <t>피앤에스로보틱스</t>
        </is>
      </c>
      <c r="C115" t="inlineStr"/>
      <c r="D115" t="inlineStr"/>
      <c r="E115" t="n">
        <v>-0</v>
      </c>
      <c r="F115" t="n">
        <v>0</v>
      </c>
      <c r="G115" t="n">
        <v>-0.5</v>
      </c>
      <c r="H115" t="n">
        <v>40.7</v>
      </c>
      <c r="I115" t="n">
        <v>16.9</v>
      </c>
      <c r="J115" t="n">
        <v>-292.3</v>
      </c>
      <c r="K115" t="n">
        <v>6230</v>
      </c>
      <c r="L115" t="n">
        <v>45332</v>
      </c>
      <c r="M115" t="n">
        <v>2.8241836</v>
      </c>
      <c r="N115" t="n">
        <v>512163.4</v>
      </c>
      <c r="O115" t="n">
        <v>0.08851081510314872</v>
      </c>
      <c r="P115" t="n">
        <v>5.157167437381762</v>
      </c>
      <c r="Q115" t="n">
        <v>31.5804966606321</v>
      </c>
      <c r="R115" t="n">
        <v>28.71504294193332</v>
      </c>
      <c r="S115" t="n">
        <v>2.9</v>
      </c>
      <c r="T115" t="n">
        <v>-1.111111111111107</v>
      </c>
      <c r="U115" t="n">
        <v>-26.53301886792453</v>
      </c>
      <c r="V115" t="n">
        <v>7132</v>
      </c>
      <c r="W115" t="n">
        <v>7887.5</v>
      </c>
      <c r="X115" t="n">
        <v>7987.333333333333</v>
      </c>
      <c r="Y115" t="n">
        <v>0</v>
      </c>
      <c r="Z115" t="n">
        <v>0</v>
      </c>
      <c r="AA115" t="n">
        <v>0</v>
      </c>
      <c r="AB115" t="n">
        <v>4050.541224395365</v>
      </c>
      <c r="AC115" t="n">
        <v>35.2</v>
      </c>
      <c r="AD115" t="n">
        <v>59.8</v>
      </c>
      <c r="AE115" t="n">
        <v>2.2</v>
      </c>
      <c r="AF115" t="n">
        <v>40.9</v>
      </c>
      <c r="AG115" t="inlineStr">
        <is>
          <t>D</t>
        </is>
      </c>
    </row>
    <row r="116">
      <c r="A116" t="inlineStr">
        <is>
          <t>A062040</t>
        </is>
      </c>
      <c r="B116" t="inlineStr">
        <is>
          <t>산일전기</t>
        </is>
      </c>
      <c r="C116" t="inlineStr"/>
      <c r="D116" t="inlineStr"/>
      <c r="E116" t="n">
        <v>-1011.3</v>
      </c>
      <c r="F116" t="n">
        <v>-7275.2</v>
      </c>
      <c r="G116" t="n">
        <v>-6348.7</v>
      </c>
      <c r="H116" t="n">
        <v>507.6</v>
      </c>
      <c r="I116" t="n">
        <v>7642.7</v>
      </c>
      <c r="J116" t="n">
        <v>9497.799999999999</v>
      </c>
      <c r="K116" t="n">
        <v>222500</v>
      </c>
      <c r="L116" t="n">
        <v>261313</v>
      </c>
      <c r="M116" t="n">
        <v>581.421425</v>
      </c>
      <c r="N116" t="n">
        <v>442267.4</v>
      </c>
      <c r="O116" t="n">
        <v>0.5908484324189393</v>
      </c>
      <c r="P116" t="n">
        <v>7.426170114430857</v>
      </c>
      <c r="Q116" t="n">
        <v>40.06211593941831</v>
      </c>
      <c r="R116" t="n">
        <v>15.96014391668304</v>
      </c>
      <c r="S116" t="n">
        <v>24.1</v>
      </c>
      <c r="T116" t="n">
        <v>-1.111111111111107</v>
      </c>
      <c r="U116" t="n">
        <v>-33.28335832083958</v>
      </c>
      <c r="V116" t="n">
        <v>254300</v>
      </c>
      <c r="W116" t="n">
        <v>276025</v>
      </c>
      <c r="X116" t="n">
        <v>207160</v>
      </c>
      <c r="Y116" t="n">
        <v>0</v>
      </c>
      <c r="Z116" t="n">
        <v>0</v>
      </c>
      <c r="AA116" t="n">
        <v>1</v>
      </c>
      <c r="AB116" t="n">
        <v>134989.2393372227</v>
      </c>
      <c r="AC116" t="n">
        <v>34.8</v>
      </c>
      <c r="AD116" t="n">
        <v>50.3</v>
      </c>
      <c r="AE116" t="n">
        <v>63</v>
      </c>
      <c r="AF116" t="n">
        <v>48.2</v>
      </c>
      <c r="AG116" t="inlineStr">
        <is>
          <t>D</t>
        </is>
      </c>
    </row>
    <row r="117">
      <c r="A117" t="inlineStr">
        <is>
          <t>A373110</t>
        </is>
      </c>
      <c r="B117" t="inlineStr">
        <is>
          <t>엑셀세라퓨틱스</t>
        </is>
      </c>
      <c r="C117" t="inlineStr"/>
      <c r="D117" t="inlineStr"/>
      <c r="E117" t="n">
        <v>-0</v>
      </c>
      <c r="F117" t="n">
        <v>-0.1</v>
      </c>
      <c r="G117" t="n">
        <v>8.300000000000001</v>
      </c>
      <c r="H117" t="n">
        <v>-2.7</v>
      </c>
      <c r="I117" t="n">
        <v>-10.2</v>
      </c>
      <c r="J117" t="n">
        <v>-75.09999999999999</v>
      </c>
      <c r="K117" t="n">
        <v>1428</v>
      </c>
      <c r="L117" t="n">
        <v>147319</v>
      </c>
      <c r="M117" t="n">
        <v>2.10371532</v>
      </c>
      <c r="N117" t="n">
        <v>950312.2</v>
      </c>
      <c r="O117" t="n">
        <v>0.155021686557323</v>
      </c>
      <c r="P117" t="n">
        <v>7.454756766065317</v>
      </c>
      <c r="Q117" t="n">
        <v>45.10006961527533</v>
      </c>
      <c r="R117" t="n">
        <v>41.08002393909983</v>
      </c>
      <c r="S117" t="n">
        <v>4</v>
      </c>
      <c r="T117" t="n">
        <v>-3.186440677966107</v>
      </c>
      <c r="U117" t="n">
        <v>-10.86142322097378</v>
      </c>
      <c r="V117" t="n">
        <v>1534.1</v>
      </c>
      <c r="W117" t="n">
        <v>1492.9</v>
      </c>
      <c r="X117" t="n">
        <v>1493.683333333333</v>
      </c>
      <c r="Y117" t="n">
        <v>0</v>
      </c>
      <c r="Z117" t="n">
        <v>0</v>
      </c>
      <c r="AA117" t="n">
        <v>0</v>
      </c>
      <c r="AB117" t="n">
        <v>503.4063337326074</v>
      </c>
      <c r="AC117" t="n">
        <v>46.3</v>
      </c>
      <c r="AD117" t="n">
        <v>47.6</v>
      </c>
      <c r="AE117" t="n">
        <v>6.7</v>
      </c>
      <c r="AF117" t="n">
        <v>39</v>
      </c>
      <c r="AG117" t="inlineStr">
        <is>
          <t>D</t>
        </is>
      </c>
    </row>
    <row r="118">
      <c r="A118" t="inlineStr">
        <is>
          <t>A462870</t>
        </is>
      </c>
      <c r="B118" t="inlineStr">
        <is>
          <t>시프트업</t>
        </is>
      </c>
      <c r="C118" t="inlineStr"/>
      <c r="D118" t="inlineStr"/>
      <c r="E118" t="n">
        <v>80.7</v>
      </c>
      <c r="F118" t="n">
        <v>97.2</v>
      </c>
      <c r="G118" t="n">
        <v>-130.2</v>
      </c>
      <c r="H118" t="n">
        <v>-26.3</v>
      </c>
      <c r="I118" t="n">
        <v>-75.2</v>
      </c>
      <c r="J118" t="n">
        <v>-345.7</v>
      </c>
      <c r="K118" t="n">
        <v>30450</v>
      </c>
      <c r="L118" t="n">
        <v>77728</v>
      </c>
      <c r="M118" t="n">
        <v>23.668176</v>
      </c>
      <c r="N118" t="n">
        <v>86224.2</v>
      </c>
      <c r="O118" t="n">
        <v>0.9014638581743872</v>
      </c>
      <c r="P118" t="n">
        <v>2.315037749266466</v>
      </c>
      <c r="Q118" t="n">
        <v>48.93134003062531</v>
      </c>
      <c r="R118" t="n">
        <v>40.61254479566261</v>
      </c>
      <c r="S118" t="n">
        <v>8.300000000000001</v>
      </c>
      <c r="T118" t="n">
        <v>0</v>
      </c>
      <c r="U118" t="n">
        <v>-8.695652173913043</v>
      </c>
      <c r="V118" t="n">
        <v>29140</v>
      </c>
      <c r="W118" t="n">
        <v>29942.5</v>
      </c>
      <c r="X118" t="n">
        <v>31572.5</v>
      </c>
      <c r="Y118" t="n">
        <v>1</v>
      </c>
      <c r="Z118" t="n">
        <v>1</v>
      </c>
      <c r="AA118" t="n">
        <v>0</v>
      </c>
      <c r="AB118" t="n">
        <v>5017.558643089498</v>
      </c>
      <c r="AC118" t="n">
        <v>79.40000000000001</v>
      </c>
      <c r="AD118" t="n">
        <v>45.8</v>
      </c>
      <c r="AE118" t="n">
        <v>84.40000000000001</v>
      </c>
      <c r="AF118" t="n">
        <v>63.6</v>
      </c>
      <c r="AG118" t="inlineStr">
        <is>
          <t>C</t>
        </is>
      </c>
    </row>
    <row r="119">
      <c r="A119" t="inlineStr">
        <is>
          <t>A450330</t>
        </is>
      </c>
      <c r="B119" t="inlineStr">
        <is>
          <t>하스</t>
        </is>
      </c>
      <c r="C119" t="inlineStr"/>
      <c r="D119" t="inlineStr"/>
      <c r="E119" t="n">
        <v>-0</v>
      </c>
      <c r="F119" t="n">
        <v>-0</v>
      </c>
      <c r="G119" t="n">
        <v>-4.7</v>
      </c>
      <c r="H119" t="n">
        <v>5.5</v>
      </c>
      <c r="I119" t="n">
        <v>2.8</v>
      </c>
      <c r="J119" t="n">
        <v>7.3</v>
      </c>
      <c r="K119" t="n">
        <v>5650</v>
      </c>
      <c r="L119" t="n">
        <v>13775</v>
      </c>
      <c r="M119" t="n">
        <v>0.7782875</v>
      </c>
      <c r="N119" t="n">
        <v>125154.6</v>
      </c>
      <c r="O119" t="n">
        <v>0.1100638730018713</v>
      </c>
      <c r="P119" t="n">
        <v>3.663118310197981</v>
      </c>
      <c r="Q119" t="n">
        <v>32.25440127329774</v>
      </c>
      <c r="R119" t="n">
        <v>54.72439700257895</v>
      </c>
      <c r="S119" t="n">
        <v>-22.5</v>
      </c>
      <c r="T119" t="n">
        <v>2.355072463768115</v>
      </c>
      <c r="U119" t="n">
        <v>-19.97167138810198</v>
      </c>
      <c r="V119" t="n">
        <v>6039</v>
      </c>
      <c r="W119" t="n">
        <v>6582</v>
      </c>
      <c r="X119" t="n">
        <v>6738.833333333333</v>
      </c>
      <c r="Y119" t="n">
        <v>0</v>
      </c>
      <c r="Z119" t="n">
        <v>0</v>
      </c>
      <c r="AA119" t="n">
        <v>0</v>
      </c>
      <c r="AB119" t="n">
        <v>2642.792781171185</v>
      </c>
      <c r="AC119" t="n">
        <v>55.1</v>
      </c>
      <c r="AD119" t="n">
        <v>57.6</v>
      </c>
      <c r="AE119" t="n">
        <v>3</v>
      </c>
      <c r="AF119" t="n">
        <v>45.9</v>
      </c>
      <c r="AG119" t="inlineStr">
        <is>
          <t>D</t>
        </is>
      </c>
    </row>
    <row r="120">
      <c r="A120" t="inlineStr">
        <is>
          <t>A462350</t>
        </is>
      </c>
      <c r="B120" t="inlineStr">
        <is>
          <t>이노스페이스</t>
        </is>
      </c>
      <c r="C120" t="inlineStr"/>
      <c r="D120" t="inlineStr"/>
      <c r="E120" t="n">
        <v>-24.9</v>
      </c>
      <c r="F120" t="n">
        <v>-460.8</v>
      </c>
      <c r="G120" t="n">
        <v>-202.8</v>
      </c>
      <c r="H120" t="n">
        <v>75.3</v>
      </c>
      <c r="I120" t="n">
        <v>-224.8</v>
      </c>
      <c r="J120" t="n">
        <v>-263.3</v>
      </c>
      <c r="K120" t="n">
        <v>13600</v>
      </c>
      <c r="L120" t="n">
        <v>292387</v>
      </c>
      <c r="M120" t="n">
        <v>39.764632</v>
      </c>
      <c r="N120" t="n">
        <v>475356.95</v>
      </c>
      <c r="O120" t="n">
        <v>0.6150893554832847</v>
      </c>
      <c r="P120" t="n">
        <v>5.13956870230278</v>
      </c>
      <c r="Q120" t="n">
        <v>37.78232290833539</v>
      </c>
      <c r="R120" t="n">
        <v>28.99018000340943</v>
      </c>
      <c r="S120" t="n">
        <v>8.800000000000001</v>
      </c>
      <c r="T120" t="n">
        <v>0.2210759027265974</v>
      </c>
      <c r="U120" t="n">
        <v>-21.06790481717934</v>
      </c>
      <c r="V120" t="n">
        <v>14964</v>
      </c>
      <c r="W120" t="n">
        <v>15491</v>
      </c>
      <c r="X120" t="n">
        <v>15565.85</v>
      </c>
      <c r="Y120" t="n">
        <v>0</v>
      </c>
      <c r="Z120" t="n">
        <v>0</v>
      </c>
      <c r="AA120" t="n">
        <v>0</v>
      </c>
      <c r="AB120" t="n">
        <v>4205.137709742077</v>
      </c>
      <c r="AC120" t="n">
        <v>51.1</v>
      </c>
      <c r="AD120" t="n">
        <v>28.1</v>
      </c>
      <c r="AE120" t="n">
        <v>66.7</v>
      </c>
      <c r="AF120" t="n">
        <v>42.7</v>
      </c>
      <c r="AG120" t="inlineStr">
        <is>
          <t>D</t>
        </is>
      </c>
    </row>
    <row r="121">
      <c r="A121" t="inlineStr">
        <is>
          <t>A481850</t>
        </is>
      </c>
      <c r="B121" t="inlineStr">
        <is>
          <t>신한글로벌액티브리츠</t>
        </is>
      </c>
      <c r="C121" t="inlineStr"/>
      <c r="D121" t="inlineStr"/>
      <c r="E121" t="n">
        <v>0.6</v>
      </c>
      <c r="F121" t="n">
        <v>-4</v>
      </c>
      <c r="G121" t="n">
        <v>-8.6</v>
      </c>
      <c r="H121" t="n">
        <v>-0.6</v>
      </c>
      <c r="I121" t="n">
        <v>-4.7</v>
      </c>
      <c r="J121" t="n">
        <v>-20.7</v>
      </c>
      <c r="K121" t="n">
        <v>923</v>
      </c>
      <c r="L121" t="n">
        <v>64435</v>
      </c>
      <c r="M121" t="n">
        <v>0.59473505</v>
      </c>
      <c r="N121" t="n">
        <v>101027.15</v>
      </c>
      <c r="O121" t="n">
        <v>0.6377988491212511</v>
      </c>
      <c r="P121" t="n">
        <v>1.920204717338396</v>
      </c>
      <c r="Q121" t="n">
        <v>25.03580032309623</v>
      </c>
      <c r="R121" t="n">
        <v>16.57525201328231</v>
      </c>
      <c r="S121" t="n">
        <v>8.5</v>
      </c>
      <c r="T121" t="n">
        <v>-0.1082251082251129</v>
      </c>
      <c r="U121" t="n">
        <v>-17.88256227758007</v>
      </c>
      <c r="V121" t="n">
        <v>961.2</v>
      </c>
      <c r="W121" t="n">
        <v>997.85</v>
      </c>
      <c r="X121" t="n">
        <v>1081.183333333333</v>
      </c>
      <c r="Y121" t="n">
        <v>0</v>
      </c>
      <c r="Z121" t="n">
        <v>0</v>
      </c>
      <c r="AA121" t="n">
        <v>0</v>
      </c>
      <c r="AB121" t="n">
        <v>234.5855023114973</v>
      </c>
      <c r="AC121" t="n">
        <v>41.1</v>
      </c>
      <c r="AD121" t="n">
        <v>49.3</v>
      </c>
      <c r="AE121" t="n">
        <v>70.40000000000001</v>
      </c>
      <c r="AF121" t="n">
        <v>51.1</v>
      </c>
      <c r="AG121" t="inlineStr">
        <is>
          <t>C</t>
        </is>
      </c>
    </row>
    <row r="122">
      <c r="A122" t="inlineStr">
        <is>
          <t>A295310</t>
        </is>
      </c>
      <c r="B122" t="inlineStr">
        <is>
          <t>에이치브이엠</t>
        </is>
      </c>
      <c r="C122" t="inlineStr"/>
      <c r="D122" t="inlineStr"/>
      <c r="E122" t="n">
        <v>64.3</v>
      </c>
      <c r="F122" t="n">
        <v>-1304.6</v>
      </c>
      <c r="G122" t="n">
        <v>-666.2</v>
      </c>
      <c r="H122" t="n">
        <v>71.5</v>
      </c>
      <c r="I122" t="n">
        <v>702.5</v>
      </c>
      <c r="J122" t="n">
        <v>4302.7</v>
      </c>
      <c r="K122" t="n">
        <v>102600</v>
      </c>
      <c r="L122" t="n">
        <v>267849</v>
      </c>
      <c r="M122" t="n">
        <v>274.813074</v>
      </c>
      <c r="N122" t="n">
        <v>428890.9</v>
      </c>
      <c r="O122" t="n">
        <v>0.6245154653549422</v>
      </c>
      <c r="P122" t="n">
        <v>9.506870280302643</v>
      </c>
      <c r="Q122" t="n">
        <v>50.0324723091279</v>
      </c>
      <c r="R122" t="n">
        <v>44.9148186780135</v>
      </c>
      <c r="S122" t="n">
        <v>5.1</v>
      </c>
      <c r="T122" t="n">
        <v>1.988071570576544</v>
      </c>
      <c r="U122" t="n">
        <v>14.50892857142857</v>
      </c>
      <c r="V122" t="n">
        <v>109740</v>
      </c>
      <c r="W122" t="n">
        <v>104570</v>
      </c>
      <c r="X122" t="n">
        <v>96038.33333333333</v>
      </c>
      <c r="Y122" t="n">
        <v>0</v>
      </c>
      <c r="Z122" t="n">
        <v>0</v>
      </c>
      <c r="AA122" t="n">
        <v>1</v>
      </c>
      <c r="AB122" t="n">
        <v>51960.48701202014</v>
      </c>
      <c r="AC122" t="n">
        <v>70.5</v>
      </c>
      <c r="AD122" t="n">
        <v>67</v>
      </c>
      <c r="AE122" t="n">
        <v>68.09999999999999</v>
      </c>
      <c r="AF122" t="n">
        <v>68.3</v>
      </c>
      <c r="AG122" t="inlineStr">
        <is>
          <t>B</t>
        </is>
      </c>
    </row>
    <row r="123">
      <c r="A123" t="inlineStr">
        <is>
          <t>A160190</t>
        </is>
      </c>
      <c r="B123" t="inlineStr">
        <is>
          <t>하이젠알앤엠</t>
        </is>
      </c>
      <c r="C123" t="inlineStr"/>
      <c r="D123" t="inlineStr"/>
      <c r="E123" t="n">
        <v>116.4</v>
      </c>
      <c r="F123" t="n">
        <v>-41.7</v>
      </c>
      <c r="G123" t="n">
        <v>531.5</v>
      </c>
      <c r="H123" t="n">
        <v>-6.4</v>
      </c>
      <c r="I123" t="n">
        <v>510.4</v>
      </c>
      <c r="J123" t="n">
        <v>1500</v>
      </c>
      <c r="K123" t="n">
        <v>30450</v>
      </c>
      <c r="L123" t="n">
        <v>132131</v>
      </c>
      <c r="M123" t="n">
        <v>40.2338895</v>
      </c>
      <c r="N123" t="n">
        <v>272157.9</v>
      </c>
      <c r="O123" t="n">
        <v>0.4854938989461632</v>
      </c>
      <c r="P123" t="n">
        <v>4.583912803841004</v>
      </c>
      <c r="Q123" t="n">
        <v>33.02631776002978</v>
      </c>
      <c r="R123" t="n">
        <v>19.17673415288736</v>
      </c>
      <c r="S123" t="n">
        <v>13.8</v>
      </c>
      <c r="T123" t="n">
        <v>0.164473684210531</v>
      </c>
      <c r="U123" t="n">
        <v>-32.92951541850221</v>
      </c>
      <c r="V123" t="n">
        <v>33285</v>
      </c>
      <c r="W123" t="n">
        <v>36810</v>
      </c>
      <c r="X123" t="n">
        <v>41080.83333333334</v>
      </c>
      <c r="Y123" t="n">
        <v>0</v>
      </c>
      <c r="Z123" t="n">
        <v>0</v>
      </c>
      <c r="AA123" t="n">
        <v>0</v>
      </c>
      <c r="AB123" t="n">
        <v>18045.97637031307</v>
      </c>
      <c r="AC123" t="n">
        <v>36.1</v>
      </c>
      <c r="AD123" t="n">
        <v>68.59999999999999</v>
      </c>
      <c r="AE123" t="n">
        <v>51.9</v>
      </c>
      <c r="AF123" t="n">
        <v>55.5</v>
      </c>
      <c r="AG123" t="inlineStr">
        <is>
          <t>C</t>
        </is>
      </c>
    </row>
    <row r="124">
      <c r="A124" t="inlineStr">
        <is>
          <t>A464080</t>
        </is>
      </c>
      <c r="B124" t="inlineStr">
        <is>
          <t>에스오에스랩</t>
        </is>
      </c>
      <c r="C124" t="inlineStr"/>
      <c r="D124" t="inlineStr"/>
      <c r="E124" t="n">
        <v>16.3</v>
      </c>
      <c r="F124" t="n">
        <v>-29.4</v>
      </c>
      <c r="G124" t="n">
        <v>-82.40000000000001</v>
      </c>
      <c r="H124" t="n">
        <v>18</v>
      </c>
      <c r="I124" t="n">
        <v>-48.1</v>
      </c>
      <c r="J124" t="n">
        <v>-247.6</v>
      </c>
      <c r="K124" t="n">
        <v>11870</v>
      </c>
      <c r="L124" t="n">
        <v>168356</v>
      </c>
      <c r="M124" t="n">
        <v>19.9838572</v>
      </c>
      <c r="N124" t="n">
        <v>691272</v>
      </c>
      <c r="O124" t="n">
        <v>0.2435452325567939</v>
      </c>
      <c r="P124" t="n">
        <v>5.210049863687458</v>
      </c>
      <c r="Q124" t="n">
        <v>35.47794323892893</v>
      </c>
      <c r="R124" t="n">
        <v>24.1014394709034</v>
      </c>
      <c r="S124" t="n">
        <v>11.4</v>
      </c>
      <c r="T124" t="n">
        <v>-0.5029337803855838</v>
      </c>
      <c r="U124" t="n">
        <v>-29.55489614243324</v>
      </c>
      <c r="V124" t="n">
        <v>12813</v>
      </c>
      <c r="W124" t="n">
        <v>14247</v>
      </c>
      <c r="X124" t="n">
        <v>15301.33333333333</v>
      </c>
      <c r="Y124" t="n">
        <v>0</v>
      </c>
      <c r="Z124" t="n">
        <v>0</v>
      </c>
      <c r="AA124" t="n">
        <v>0</v>
      </c>
      <c r="AB124" t="n">
        <v>7753.117946654556</v>
      </c>
      <c r="AC124" t="n">
        <v>37.8</v>
      </c>
      <c r="AD124" t="n">
        <v>46.7</v>
      </c>
      <c r="AE124" t="n">
        <v>15.6</v>
      </c>
      <c r="AF124" t="n">
        <v>37.8</v>
      </c>
      <c r="AG124" t="inlineStr">
        <is>
          <t>D</t>
        </is>
      </c>
    </row>
    <row r="125">
      <c r="A125" t="inlineStr">
        <is>
          <t>A107640</t>
        </is>
      </c>
      <c r="B125" t="inlineStr">
        <is>
          <t>한중엔시에스</t>
        </is>
      </c>
      <c r="C125" t="inlineStr"/>
      <c r="D125" t="inlineStr"/>
      <c r="E125" t="n">
        <v>-70.09999999999999</v>
      </c>
      <c r="F125" t="n">
        <v>106.9</v>
      </c>
      <c r="G125" t="n">
        <v>-988.5</v>
      </c>
      <c r="H125" t="n">
        <v>14.2</v>
      </c>
      <c r="I125" t="n">
        <v>-614.9</v>
      </c>
      <c r="J125" t="n">
        <v>-728.6</v>
      </c>
      <c r="K125" t="n">
        <v>46050</v>
      </c>
      <c r="L125" t="n">
        <v>99563</v>
      </c>
      <c r="M125" t="n">
        <v>45.8487615</v>
      </c>
      <c r="N125" t="n">
        <v>179037</v>
      </c>
      <c r="O125" t="n">
        <v>0.5561029284449583</v>
      </c>
      <c r="P125" t="n">
        <v>7.341064818571483</v>
      </c>
      <c r="Q125" t="n">
        <v>36.08219974011969</v>
      </c>
      <c r="R125" t="n">
        <v>24.52432893814224</v>
      </c>
      <c r="S125" t="n">
        <v>11.6</v>
      </c>
      <c r="T125" t="n">
        <v>-1.49732620320856</v>
      </c>
      <c r="U125" t="n">
        <v>-34.12017167381974</v>
      </c>
      <c r="V125" t="n">
        <v>50325</v>
      </c>
      <c r="W125" t="n">
        <v>54762.5</v>
      </c>
      <c r="X125" t="n">
        <v>55667.5</v>
      </c>
      <c r="Y125" t="n">
        <v>0</v>
      </c>
      <c r="Z125" t="n">
        <v>0</v>
      </c>
      <c r="AA125" t="n">
        <v>0</v>
      </c>
      <c r="AB125" t="n">
        <v>25236.88820587413</v>
      </c>
      <c r="AC125" t="n">
        <v>29.5</v>
      </c>
      <c r="AD125" t="n">
        <v>33.1</v>
      </c>
      <c r="AE125" t="n">
        <v>58.5</v>
      </c>
      <c r="AF125" t="n">
        <v>37.1</v>
      </c>
      <c r="AG125" t="inlineStr">
        <is>
          <t>D</t>
        </is>
      </c>
    </row>
    <row r="126">
      <c r="A126" t="inlineStr">
        <is>
          <t>A458870</t>
        </is>
      </c>
      <c r="B126" t="inlineStr">
        <is>
          <t>씨어스테크놀로지</t>
        </is>
      </c>
      <c r="C126" t="inlineStr"/>
      <c r="D126" t="inlineStr"/>
      <c r="E126" t="n">
        <v>-44.4</v>
      </c>
      <c r="F126" t="n">
        <v>-639.4</v>
      </c>
      <c r="G126" t="n">
        <v>-1676.1</v>
      </c>
      <c r="H126" t="n">
        <v>-9</v>
      </c>
      <c r="I126" t="n">
        <v>1779.8</v>
      </c>
      <c r="J126" t="n">
        <v>3135.1</v>
      </c>
      <c r="K126" t="n">
        <v>30050</v>
      </c>
      <c r="L126" t="n">
        <v>182989</v>
      </c>
      <c r="M126" t="n">
        <v>54.9881945</v>
      </c>
      <c r="N126" t="n">
        <v>451597.4</v>
      </c>
      <c r="O126" t="n">
        <v>0.4052038386403464</v>
      </c>
      <c r="P126" t="n">
        <v>4.677283054395237</v>
      </c>
      <c r="Q126" t="n">
        <v>31.77730114769946</v>
      </c>
      <c r="R126" t="n">
        <v>11.18409837303823</v>
      </c>
      <c r="S126" t="n">
        <v>20.6</v>
      </c>
      <c r="T126" t="n">
        <v>1.864406779661021</v>
      </c>
      <c r="U126" t="n">
        <v>-38.42213114754098</v>
      </c>
      <c r="V126" t="n">
        <v>33035</v>
      </c>
      <c r="W126" t="n">
        <v>36457.5</v>
      </c>
      <c r="X126" t="n">
        <v>45602.36666666667</v>
      </c>
      <c r="Y126" t="n">
        <v>0</v>
      </c>
      <c r="Z126" t="n">
        <v>0</v>
      </c>
      <c r="AA126" t="n">
        <v>0</v>
      </c>
      <c r="AB126" t="n">
        <v>18744.51779503588</v>
      </c>
      <c r="AC126" t="n">
        <v>35.2</v>
      </c>
      <c r="AD126" t="n">
        <v>37.3</v>
      </c>
      <c r="AE126" t="n">
        <v>41.5</v>
      </c>
      <c r="AF126" t="n">
        <v>37.5</v>
      </c>
      <c r="AG126" t="inlineStr">
        <is>
          <t>D</t>
        </is>
      </c>
    </row>
    <row r="127">
      <c r="A127" t="inlineStr">
        <is>
          <t>A462510</t>
        </is>
      </c>
      <c r="B127" t="inlineStr">
        <is>
          <t>라메디텍</t>
        </is>
      </c>
      <c r="C127" t="inlineStr"/>
      <c r="D127" t="inlineStr"/>
      <c r="E127" t="n">
        <v>-0.2</v>
      </c>
      <c r="F127" t="n">
        <v>-0</v>
      </c>
      <c r="G127" t="n">
        <v>0.9</v>
      </c>
      <c r="H127" t="n">
        <v>2.6</v>
      </c>
      <c r="I127" t="n">
        <v>3.8</v>
      </c>
      <c r="J127" t="n">
        <v>-8.9</v>
      </c>
      <c r="K127" t="n">
        <v>3345</v>
      </c>
      <c r="L127" t="n">
        <v>25058</v>
      </c>
      <c r="M127" t="n">
        <v>0.8381901</v>
      </c>
      <c r="N127" t="n">
        <v>166239.6</v>
      </c>
      <c r="O127" t="n">
        <v>0.1507342414202152</v>
      </c>
      <c r="P127" t="n">
        <v>7.776397459986799</v>
      </c>
      <c r="Q127" t="n">
        <v>32.79258149429548</v>
      </c>
      <c r="R127" t="n">
        <v>24.87412819235689</v>
      </c>
      <c r="S127" t="n">
        <v>7.9</v>
      </c>
      <c r="T127" t="n">
        <v>4.043545878693622</v>
      </c>
      <c r="U127" t="n">
        <v>-30.45738045738046</v>
      </c>
      <c r="V127" t="n">
        <v>3752</v>
      </c>
      <c r="W127" t="n">
        <v>4217.75</v>
      </c>
      <c r="X127" t="n">
        <v>4694.166666666667</v>
      </c>
      <c r="Y127" t="n">
        <v>0</v>
      </c>
      <c r="Z127" t="n">
        <v>0</v>
      </c>
      <c r="AA127" t="n">
        <v>0</v>
      </c>
      <c r="AB127" t="n">
        <v>2554.537552134081</v>
      </c>
      <c r="AC127" t="n">
        <v>48.6</v>
      </c>
      <c r="AD127" t="n">
        <v>55.4</v>
      </c>
      <c r="AE127" t="n">
        <v>5.9</v>
      </c>
      <c r="AF127" t="n">
        <v>43.5</v>
      </c>
      <c r="AG127" t="inlineStr">
        <is>
          <t>D</t>
        </is>
      </c>
    </row>
    <row r="128">
      <c r="A128" t="inlineStr">
        <is>
          <t>A453450</t>
        </is>
      </c>
      <c r="B128" t="inlineStr">
        <is>
          <t>그리드위즈</t>
        </is>
      </c>
      <c r="C128" t="inlineStr"/>
      <c r="D128" t="inlineStr"/>
      <c r="E128" t="n">
        <v>-1.2</v>
      </c>
      <c r="F128" t="n">
        <v>-3.3</v>
      </c>
      <c r="G128" t="n">
        <v>-12</v>
      </c>
      <c r="H128" t="n">
        <v>24</v>
      </c>
      <c r="I128" t="n">
        <v>55.1</v>
      </c>
      <c r="J128" t="n">
        <v>23.3</v>
      </c>
      <c r="K128" t="n">
        <v>17000</v>
      </c>
      <c r="L128" t="n">
        <v>48235</v>
      </c>
      <c r="M128" t="n">
        <v>8.199949999999999</v>
      </c>
      <c r="N128" t="n">
        <v>163380.9</v>
      </c>
      <c r="O128" t="n">
        <v>0.2952303482230787</v>
      </c>
      <c r="P128" t="n">
        <v>4.45562437458054</v>
      </c>
      <c r="Q128" t="n">
        <v>34.48159818671667</v>
      </c>
      <c r="R128" t="n">
        <v>19.56123080866918</v>
      </c>
      <c r="S128" t="n">
        <v>14.9</v>
      </c>
      <c r="T128" t="n">
        <v>3.911980440097795</v>
      </c>
      <c r="U128" t="n">
        <v>-32.53968253968254</v>
      </c>
      <c r="V128" t="n">
        <v>18418</v>
      </c>
      <c r="W128" t="n">
        <v>20245</v>
      </c>
      <c r="X128" t="n">
        <v>20848</v>
      </c>
      <c r="Y128" t="n">
        <v>0</v>
      </c>
      <c r="Z128" t="n">
        <v>0</v>
      </c>
      <c r="AA128" t="n">
        <v>0</v>
      </c>
      <c r="AB128" t="n">
        <v>10415.49857310325</v>
      </c>
      <c r="AC128" t="n">
        <v>47.6</v>
      </c>
      <c r="AD128" t="n">
        <v>57.9</v>
      </c>
      <c r="AE128" t="n">
        <v>22.2</v>
      </c>
      <c r="AF128" t="n">
        <v>47.7</v>
      </c>
      <c r="AG128" t="inlineStr">
        <is>
          <t>D</t>
        </is>
      </c>
    </row>
    <row r="129">
      <c r="A129" t="inlineStr">
        <is>
          <t>A145170</t>
        </is>
      </c>
      <c r="B129" t="inlineStr">
        <is>
          <t>노브랜드</t>
        </is>
      </c>
      <c r="C129" t="inlineStr"/>
      <c r="D129" t="inlineStr"/>
      <c r="E129" t="n">
        <v>0</v>
      </c>
      <c r="F129" t="n">
        <v>-0.1</v>
      </c>
      <c r="G129" t="n">
        <v>0</v>
      </c>
      <c r="H129" t="n">
        <v>12.4</v>
      </c>
      <c r="I129" t="n">
        <v>17.7</v>
      </c>
      <c r="J129" t="n">
        <v>-32</v>
      </c>
      <c r="K129" t="n">
        <v>3965</v>
      </c>
      <c r="L129" t="n">
        <v>59591</v>
      </c>
      <c r="M129" t="n">
        <v>2.36278315</v>
      </c>
      <c r="N129" t="n">
        <v>1334706.6</v>
      </c>
      <c r="O129" t="n">
        <v>0.04464726554884796</v>
      </c>
      <c r="P129" t="n">
        <v>3.897284138840171</v>
      </c>
      <c r="Q129" t="n">
        <v>36.09333695397466</v>
      </c>
      <c r="R129" t="n">
        <v>22.96080836780797</v>
      </c>
      <c r="S129" t="n">
        <v>13.1</v>
      </c>
      <c r="T129" t="n">
        <v>2.72020725388602</v>
      </c>
      <c r="U129" t="n">
        <v>-15.18716577540107</v>
      </c>
      <c r="V129" t="n">
        <v>4336.5</v>
      </c>
      <c r="W129" t="n">
        <v>4617.25</v>
      </c>
      <c r="X129" t="n">
        <v>4298.666666666667</v>
      </c>
      <c r="Y129" t="n">
        <v>0</v>
      </c>
      <c r="Z129" t="n">
        <v>0</v>
      </c>
      <c r="AA129" t="n">
        <v>0</v>
      </c>
      <c r="AB129" t="n">
        <v>1551.576108688398</v>
      </c>
      <c r="AC129" t="n">
        <v>62.2</v>
      </c>
      <c r="AD129" t="n">
        <v>58.4</v>
      </c>
      <c r="AE129" t="n">
        <v>0.7</v>
      </c>
      <c r="AF129" t="n">
        <v>48</v>
      </c>
      <c r="AG129" t="inlineStr">
        <is>
          <t>D</t>
        </is>
      </c>
    </row>
    <row r="130">
      <c r="A130" t="inlineStr">
        <is>
          <t>A456010</t>
        </is>
      </c>
      <c r="B130" t="inlineStr">
        <is>
          <t>아이씨티케이</t>
        </is>
      </c>
      <c r="C130" t="inlineStr"/>
      <c r="D130" t="inlineStr"/>
      <c r="E130" t="n">
        <v>12.1</v>
      </c>
      <c r="F130" t="n">
        <v>12.2</v>
      </c>
      <c r="G130" t="n">
        <v>-139.3</v>
      </c>
      <c r="H130" t="n">
        <v>319.6</v>
      </c>
      <c r="I130" t="n">
        <v>1076.5</v>
      </c>
      <c r="J130" t="n">
        <v>1675.5</v>
      </c>
      <c r="K130" t="n">
        <v>28150</v>
      </c>
      <c r="L130" t="n">
        <v>616584</v>
      </c>
      <c r="M130" t="n">
        <v>173.568396</v>
      </c>
      <c r="N130" t="n">
        <v>2167570.05</v>
      </c>
      <c r="O130" t="n">
        <v>0.284458626838842</v>
      </c>
      <c r="P130" t="n">
        <v>9.163145241409346</v>
      </c>
      <c r="Q130" t="n">
        <v>54.39310551756087</v>
      </c>
      <c r="R130" t="n">
        <v>55.76564009536217</v>
      </c>
      <c r="S130" t="n">
        <v>-1.4</v>
      </c>
      <c r="T130" t="n">
        <v>-2.595155709342556</v>
      </c>
      <c r="U130" t="n">
        <v>19.53290870488323</v>
      </c>
      <c r="V130" t="n">
        <v>29285</v>
      </c>
      <c r="W130" t="n">
        <v>25559.5</v>
      </c>
      <c r="X130" t="n">
        <v>20211.33333333333</v>
      </c>
      <c r="Y130" t="n">
        <v>0</v>
      </c>
      <c r="Z130" t="n">
        <v>1</v>
      </c>
      <c r="AA130" t="n">
        <v>1</v>
      </c>
      <c r="AB130" t="n">
        <v>19888.89761703886</v>
      </c>
      <c r="AC130" t="n">
        <v>53.9</v>
      </c>
      <c r="AD130" t="n">
        <v>84.3</v>
      </c>
      <c r="AE130" t="n">
        <v>18.5</v>
      </c>
      <c r="AF130" t="n">
        <v>62</v>
      </c>
      <c r="AG130" t="inlineStr">
        <is>
          <t>C</t>
        </is>
      </c>
    </row>
    <row r="131">
      <c r="A131" t="inlineStr">
        <is>
          <t>A443060</t>
        </is>
      </c>
      <c r="B131" t="inlineStr">
        <is>
          <t>HD현대마린솔루션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220000</v>
      </c>
      <c r="L131" t="n">
        <v>174202</v>
      </c>
      <c r="M131" t="n">
        <v>383.2444</v>
      </c>
      <c r="N131" t="n">
        <v>363030.6</v>
      </c>
      <c r="O131" t="n">
        <v>0.4798548662289074</v>
      </c>
      <c r="P131" t="n">
        <v>5.95881494595461</v>
      </c>
      <c r="Q131" t="n">
        <v>46.01432806534032</v>
      </c>
      <c r="R131" t="n">
        <v>32.28901463063207</v>
      </c>
      <c r="S131" t="n">
        <v>13.7</v>
      </c>
      <c r="T131" t="n">
        <v>-3.083700440528636</v>
      </c>
      <c r="U131" t="n">
        <v>-18.36734693877551</v>
      </c>
      <c r="V131" t="n">
        <v>232500</v>
      </c>
      <c r="W131" t="n">
        <v>235475</v>
      </c>
      <c r="X131" t="n">
        <v>209546.6666666667</v>
      </c>
      <c r="Y131" t="n">
        <v>0</v>
      </c>
      <c r="Z131" t="n">
        <v>0</v>
      </c>
      <c r="AA131" t="n">
        <v>1</v>
      </c>
      <c r="AB131" t="n">
        <v>64060.74419930213</v>
      </c>
      <c r="AC131" t="n">
        <v>44.5</v>
      </c>
      <c r="AD131" t="n">
        <v>50</v>
      </c>
      <c r="AE131" t="n">
        <v>51.1</v>
      </c>
      <c r="AF131" t="n">
        <v>48.6</v>
      </c>
      <c r="AG131" t="inlineStr">
        <is>
          <t>D</t>
        </is>
      </c>
    </row>
    <row r="132">
      <c r="A132" t="inlineStr">
        <is>
          <t>A126730</t>
        </is>
      </c>
      <c r="B132" t="inlineStr">
        <is>
          <t>코칩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22900</v>
      </c>
      <c r="L132" t="n">
        <v>373843</v>
      </c>
      <c r="M132" t="n">
        <v>85.61004699999999</v>
      </c>
      <c r="N132" t="n">
        <v>1593358.9</v>
      </c>
      <c r="O132" t="n">
        <v>0.2346257330975463</v>
      </c>
      <c r="P132" t="n">
        <v>9.520597425001082</v>
      </c>
      <c r="Q132" t="n">
        <v>51.73806850471672</v>
      </c>
      <c r="R132" t="n">
        <v>61.14036958276697</v>
      </c>
      <c r="S132" t="n">
        <v>-9.4</v>
      </c>
      <c r="T132" t="n">
        <v>-7.287449392712553</v>
      </c>
      <c r="U132" t="n">
        <v>4.090909090909091</v>
      </c>
      <c r="V132" t="n">
        <v>24495</v>
      </c>
      <c r="W132" t="n">
        <v>21609</v>
      </c>
      <c r="X132" t="n">
        <v>19773.33333333333</v>
      </c>
      <c r="Y132" t="n">
        <v>0</v>
      </c>
      <c r="Z132" t="n">
        <v>1</v>
      </c>
      <c r="AA132" t="n">
        <v>1</v>
      </c>
      <c r="AB132" t="n">
        <v>16480.91412896494</v>
      </c>
      <c r="AC132" t="n">
        <v>47.7</v>
      </c>
      <c r="AD132" t="n">
        <v>50</v>
      </c>
      <c r="AE132" t="n">
        <v>13.3</v>
      </c>
      <c r="AF132" t="n">
        <v>42</v>
      </c>
      <c r="AG132" t="inlineStr">
        <is>
          <t>D</t>
        </is>
      </c>
    </row>
    <row r="133">
      <c r="A133" t="inlineStr">
        <is>
          <t>A452200</t>
        </is>
      </c>
      <c r="B133" t="inlineStr">
        <is>
          <t>민테크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3035</v>
      </c>
      <c r="L133" t="n">
        <v>375812</v>
      </c>
      <c r="M133" t="n">
        <v>11.4058942</v>
      </c>
      <c r="N133" t="n">
        <v>2097711.65</v>
      </c>
      <c r="O133" t="n">
        <v>0.1791533169013005</v>
      </c>
      <c r="P133" t="n">
        <v>9.44008055226664</v>
      </c>
      <c r="Q133" t="n">
        <v>43.0899546136108</v>
      </c>
      <c r="R133" t="n">
        <v>33.0336674600689</v>
      </c>
      <c r="S133" t="n">
        <v>10.1</v>
      </c>
      <c r="T133" t="n">
        <v>2.188552188552184</v>
      </c>
      <c r="U133" t="n">
        <v>5.749128919860627</v>
      </c>
      <c r="V133" t="n">
        <v>3553.5</v>
      </c>
      <c r="W133" t="n">
        <v>3647.75</v>
      </c>
      <c r="X133" t="n">
        <v>2847</v>
      </c>
      <c r="Y133" t="n">
        <v>0</v>
      </c>
      <c r="Z133" t="n">
        <v>0</v>
      </c>
      <c r="AA133" t="n">
        <v>1</v>
      </c>
      <c r="AB133" t="n">
        <v>2263.77862968324</v>
      </c>
      <c r="AC133" t="n">
        <v>68.5</v>
      </c>
      <c r="AD133" t="n">
        <v>50</v>
      </c>
      <c r="AE133" t="n">
        <v>8.9</v>
      </c>
      <c r="AF133" t="n">
        <v>47.3</v>
      </c>
      <c r="AG133" t="inlineStr">
        <is>
          <t>D</t>
        </is>
      </c>
    </row>
    <row r="134">
      <c r="A134" t="inlineStr">
        <is>
          <t>A347850</t>
        </is>
      </c>
      <c r="B134" t="inlineStr">
        <is>
          <t>디앤디파마텍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94000</v>
      </c>
      <c r="L134" t="n">
        <v>1925795</v>
      </c>
      <c r="M134" t="n">
        <v>1810.2473</v>
      </c>
      <c r="N134" t="n">
        <v>1364003.35</v>
      </c>
      <c r="O134" t="n">
        <v>1.411869699586881</v>
      </c>
      <c r="P134" t="n">
        <v>8.14321370849664</v>
      </c>
      <c r="Q134" t="n">
        <v>59.71953800661702</v>
      </c>
      <c r="R134" t="n">
        <v>48.21238098345931</v>
      </c>
      <c r="S134" t="n">
        <v>11.5</v>
      </c>
      <c r="T134" t="n">
        <v>11.7717003567182</v>
      </c>
      <c r="U134" t="n">
        <v>25.50066755674233</v>
      </c>
      <c r="V134" t="n">
        <v>82730</v>
      </c>
      <c r="W134" t="n">
        <v>75585</v>
      </c>
      <c r="X134" t="n">
        <v>76581.66666666667</v>
      </c>
      <c r="Y134" t="n">
        <v>1</v>
      </c>
      <c r="Z134" t="n">
        <v>1</v>
      </c>
      <c r="AA134" t="n">
        <v>1</v>
      </c>
      <c r="AB134" t="n">
        <v>54794.58674761682</v>
      </c>
      <c r="AC134" t="n">
        <v>98.8</v>
      </c>
      <c r="AD134" t="n">
        <v>50</v>
      </c>
      <c r="AE134" t="n">
        <v>94.8</v>
      </c>
      <c r="AF134" t="n">
        <v>73.59999999999999</v>
      </c>
      <c r="AG134" t="inlineStr">
        <is>
          <t>B</t>
        </is>
      </c>
    </row>
    <row r="135">
      <c r="A135" t="inlineStr">
        <is>
          <t>A412540</t>
        </is>
      </c>
      <c r="B135" t="inlineStr">
        <is>
          <t>제일엠앤에스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3935</v>
      </c>
      <c r="L135" t="n">
        <v>0</v>
      </c>
      <c r="M135" t="inlineStr"/>
      <c r="N135" t="n">
        <v>0</v>
      </c>
      <c r="O135" t="inlineStr"/>
      <c r="P135" t="n">
        <v>0</v>
      </c>
      <c r="Q135" t="inlineStr"/>
      <c r="R135" t="inlineStr"/>
      <c r="S135" t="inlineStr"/>
      <c r="T135" t="n">
        <v>0</v>
      </c>
      <c r="U135" t="n">
        <v>0</v>
      </c>
      <c r="V135" t="n">
        <v>3935</v>
      </c>
      <c r="W135" t="n">
        <v>3935</v>
      </c>
      <c r="X135" t="n">
        <v>3935</v>
      </c>
      <c r="Y135" t="n">
        <v>0</v>
      </c>
      <c r="Z135" t="n">
        <v>0</v>
      </c>
      <c r="AA135" t="n">
        <v>0</v>
      </c>
      <c r="AB135" t="n">
        <v>0</v>
      </c>
      <c r="AC135" t="n">
        <v>52.7</v>
      </c>
      <c r="AD135" t="n">
        <v>50</v>
      </c>
      <c r="AE135" t="n">
        <v>50</v>
      </c>
      <c r="AF135" t="n">
        <v>50.8</v>
      </c>
      <c r="AG135" t="inlineStr">
        <is>
          <t>C</t>
        </is>
      </c>
    </row>
    <row r="136">
      <c r="A136" t="inlineStr">
        <is>
          <t>A461030</t>
        </is>
      </c>
      <c r="B136" t="inlineStr">
        <is>
          <t>아이엠비디엑스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4560</v>
      </c>
      <c r="L136" t="n">
        <v>22120</v>
      </c>
      <c r="M136" t="n">
        <v>1.008672</v>
      </c>
      <c r="N136" t="n">
        <v>69651.85000000001</v>
      </c>
      <c r="O136" t="n">
        <v>0.3175795043491307</v>
      </c>
      <c r="P136" t="n">
        <v>2.919439002420327</v>
      </c>
      <c r="Q136" t="n">
        <v>23.43472540294767</v>
      </c>
      <c r="R136" t="n">
        <v>8.599835541169982</v>
      </c>
      <c r="S136" t="n">
        <v>14.8</v>
      </c>
      <c r="T136" t="n">
        <v>0.6622516556291425</v>
      </c>
      <c r="U136" t="n">
        <v>-36.1344537815126</v>
      </c>
      <c r="V136" t="n">
        <v>5015.5</v>
      </c>
      <c r="W136" t="n">
        <v>5588.75</v>
      </c>
      <c r="X136" t="n">
        <v>6411.083333333333</v>
      </c>
      <c r="Y136" t="n">
        <v>0</v>
      </c>
      <c r="Z136" t="n">
        <v>0</v>
      </c>
      <c r="AA136" t="n">
        <v>0</v>
      </c>
      <c r="AB136" t="n">
        <v>2871.213753981523</v>
      </c>
      <c r="AC136" t="n">
        <v>26.6</v>
      </c>
      <c r="AD136" t="n">
        <v>50</v>
      </c>
      <c r="AE136" t="n">
        <v>26.7</v>
      </c>
      <c r="AF136" t="n">
        <v>38.3</v>
      </c>
      <c r="AG136" t="inlineStr">
        <is>
          <t>D</t>
        </is>
      </c>
    </row>
    <row r="137">
      <c r="A137" t="inlineStr">
        <is>
          <t>A455900</t>
        </is>
      </c>
      <c r="B137" t="inlineStr">
        <is>
          <t>엔젤로보틱스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27200</v>
      </c>
      <c r="L137" t="n">
        <v>100515</v>
      </c>
      <c r="M137" t="n">
        <v>27.34008</v>
      </c>
      <c r="N137" t="n">
        <v>165047.7</v>
      </c>
      <c r="O137" t="n">
        <v>0.6090057601529739</v>
      </c>
      <c r="P137" t="n">
        <v>5.586958652888521</v>
      </c>
      <c r="Q137" t="n">
        <v>46.45263630788812</v>
      </c>
      <c r="R137" t="n">
        <v>42.79445134108769</v>
      </c>
      <c r="S137" t="n">
        <v>3.7</v>
      </c>
      <c r="T137" t="n">
        <v>-7.167235494880542</v>
      </c>
      <c r="U137" t="n">
        <v>-9.933774834437086</v>
      </c>
      <c r="V137" t="n">
        <v>27385</v>
      </c>
      <c r="W137" t="n">
        <v>28087.5</v>
      </c>
      <c r="X137" t="n">
        <v>27869.16666666667</v>
      </c>
      <c r="Y137" t="n">
        <v>0</v>
      </c>
      <c r="Z137" t="n">
        <v>0</v>
      </c>
      <c r="AA137" t="n">
        <v>0</v>
      </c>
      <c r="AB137" t="n">
        <v>6623.3637502723</v>
      </c>
      <c r="AC137" t="n">
        <v>44.5</v>
      </c>
      <c r="AD137" t="n">
        <v>50</v>
      </c>
      <c r="AE137" t="n">
        <v>65.2</v>
      </c>
      <c r="AF137" t="n">
        <v>51.4</v>
      </c>
      <c r="AG137" t="inlineStr">
        <is>
          <t>C</t>
        </is>
      </c>
    </row>
    <row r="138">
      <c r="A138" t="inlineStr">
        <is>
          <t>A437730</t>
        </is>
      </c>
      <c r="B138" t="inlineStr">
        <is>
          <t>삼현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47900</v>
      </c>
      <c r="L138" t="n">
        <v>201229</v>
      </c>
      <c r="M138" t="n">
        <v>96.38869099999999</v>
      </c>
      <c r="N138" t="n">
        <v>391886</v>
      </c>
      <c r="O138" t="n">
        <v>0.513488616587477</v>
      </c>
      <c r="P138" t="n">
        <v>5.196630420257275</v>
      </c>
      <c r="Q138" t="n">
        <v>40.55901248535718</v>
      </c>
      <c r="R138" t="n">
        <v>32.56033928190639</v>
      </c>
      <c r="S138" t="n">
        <v>8</v>
      </c>
      <c r="T138" t="n">
        <v>-1.844262295081966</v>
      </c>
      <c r="U138" t="n">
        <v>-10.46728971962617</v>
      </c>
      <c r="V138" t="n">
        <v>53400</v>
      </c>
      <c r="W138" t="n">
        <v>53785</v>
      </c>
      <c r="X138" t="n">
        <v>52093.33333333334</v>
      </c>
      <c r="Y138" t="n">
        <v>0</v>
      </c>
      <c r="Z138" t="n">
        <v>0</v>
      </c>
      <c r="AA138" t="n">
        <v>0</v>
      </c>
      <c r="AB138" t="n">
        <v>13268.57783994716</v>
      </c>
      <c r="AC138" t="n">
        <v>48.6</v>
      </c>
      <c r="AD138" t="n">
        <v>50</v>
      </c>
      <c r="AE138" t="n">
        <v>53.3</v>
      </c>
      <c r="AF138" t="n">
        <v>50.2</v>
      </c>
      <c r="AG138" t="inlineStr">
        <is>
          <t>C</t>
        </is>
      </c>
    </row>
    <row r="139">
      <c r="A139" t="inlineStr">
        <is>
          <t>A036220</t>
        </is>
      </c>
      <c r="B139" t="inlineStr">
        <is>
          <t>오상헬스케어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6850</v>
      </c>
      <c r="L139" t="n">
        <v>25363</v>
      </c>
      <c r="M139" t="n">
        <v>1.7373655</v>
      </c>
      <c r="N139" t="n">
        <v>201785.65</v>
      </c>
      <c r="O139" t="n">
        <v>0.1256927834065505</v>
      </c>
      <c r="P139" t="n">
        <v>3.104990917490695</v>
      </c>
      <c r="Q139" t="n">
        <v>30.97397418147107</v>
      </c>
      <c r="R139" t="n">
        <v>18.99193746359373</v>
      </c>
      <c r="S139" t="n">
        <v>12</v>
      </c>
      <c r="T139" t="n">
        <v>-0.5805515239477477</v>
      </c>
      <c r="U139" t="n">
        <v>-23.03370786516854</v>
      </c>
      <c r="V139" t="n">
        <v>7210</v>
      </c>
      <c r="W139" t="n">
        <v>7915</v>
      </c>
      <c r="X139" t="n">
        <v>8809.166666666666</v>
      </c>
      <c r="Y139" t="n">
        <v>0</v>
      </c>
      <c r="Z139" t="n">
        <v>0</v>
      </c>
      <c r="AA139" t="n">
        <v>0</v>
      </c>
      <c r="AB139" t="n">
        <v>3329.751057551171</v>
      </c>
      <c r="AC139" t="n">
        <v>38.9</v>
      </c>
      <c r="AD139" t="n">
        <v>50</v>
      </c>
      <c r="AE139" t="n">
        <v>3.7</v>
      </c>
      <c r="AF139" t="n">
        <v>37.4</v>
      </c>
      <c r="AG139" t="inlineStr">
        <is>
          <t>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9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</cols>
  <sheetData>
    <row r="1">
      <c r="A1" s="20" t="inlineStr">
        <is>
          <t>코드</t>
        </is>
      </c>
      <c r="B1" s="20" t="inlineStr">
        <is>
          <t>코드명</t>
        </is>
      </c>
      <c r="C1" s="20" t="inlineStr">
        <is>
          <t>상장일</t>
        </is>
      </c>
      <c r="D1" s="20" t="inlineStr">
        <is>
          <t>days_since_ipo</t>
        </is>
      </c>
      <c r="E1" s="20" t="inlineStr">
        <is>
          <t>기관_일간</t>
        </is>
      </c>
      <c r="F1" s="20" t="inlineStr">
        <is>
          <t>기관_5일</t>
        </is>
      </c>
      <c r="G1" s="20" t="inlineStr">
        <is>
          <t>기관_20일</t>
        </is>
      </c>
      <c r="H1" s="20" t="inlineStr">
        <is>
          <t>외국인_일간</t>
        </is>
      </c>
      <c r="I1" s="20" t="inlineStr">
        <is>
          <t>외국인_5일</t>
        </is>
      </c>
      <c r="J1" s="20" t="inlineStr">
        <is>
          <t>외국인_20일</t>
        </is>
      </c>
      <c r="K1" s="20" t="inlineStr">
        <is>
          <t>현재가</t>
        </is>
      </c>
      <c r="L1" s="20" t="inlineStr">
        <is>
          <t>거래량</t>
        </is>
      </c>
      <c r="M1" s="20" t="inlineStr">
        <is>
          <t>거래대금(억)</t>
        </is>
      </c>
      <c r="N1" s="20" t="inlineStr">
        <is>
          <t>20일평균거래량</t>
        </is>
      </c>
      <c r="O1" s="20" t="inlineStr">
        <is>
          <t>RVOL(20)</t>
        </is>
      </c>
      <c r="P1" s="20" t="inlineStr">
        <is>
          <t>변동성(30D)</t>
        </is>
      </c>
      <c r="Q1" s="20" t="inlineStr">
        <is>
          <t>RSI(14)</t>
        </is>
      </c>
      <c r="R1" s="20" t="inlineStr">
        <is>
          <t>전일RSI(14)</t>
        </is>
      </c>
      <c r="S1" s="20" t="inlineStr">
        <is>
          <t>RSI변화량</t>
        </is>
      </c>
      <c r="T1" s="20" t="inlineStr">
        <is>
          <t>1일수익률(%)</t>
        </is>
      </c>
      <c r="U1" s="20" t="inlineStr">
        <is>
          <t>20일수익률(%)</t>
        </is>
      </c>
      <c r="V1" s="20" t="inlineStr">
        <is>
          <t>10일이평</t>
        </is>
      </c>
      <c r="W1" s="20" t="inlineStr">
        <is>
          <t>20일이평</t>
        </is>
      </c>
      <c r="X1" s="20" t="inlineStr">
        <is>
          <t>60일이평</t>
        </is>
      </c>
      <c r="Y1" s="20" t="inlineStr">
        <is>
          <t>10일선돌파</t>
        </is>
      </c>
      <c r="Z1" s="20" t="inlineStr">
        <is>
          <t>20일선돌파</t>
        </is>
      </c>
      <c r="AA1" s="20" t="inlineStr">
        <is>
          <t>60일선돌파</t>
        </is>
      </c>
      <c r="AB1" s="20" t="inlineStr">
        <is>
          <t>BB폭</t>
        </is>
      </c>
      <c r="AC1" s="20" t="inlineStr">
        <is>
          <t>모멘텀스코어</t>
        </is>
      </c>
      <c r="AD1" s="20" t="inlineStr">
        <is>
          <t>수급스코어</t>
        </is>
      </c>
      <c r="AE1" s="20" t="inlineStr">
        <is>
          <t>거래량스코어</t>
        </is>
      </c>
      <c r="AF1" s="20" t="inlineStr">
        <is>
          <t>종합스코어</t>
        </is>
      </c>
      <c r="AG1" s="20" t="inlineStr">
        <is>
          <t>등급</t>
        </is>
      </c>
    </row>
    <row r="2">
      <c r="A2" t="inlineStr">
        <is>
          <t>A458350</t>
        </is>
      </c>
      <c r="B2" t="inlineStr">
        <is>
          <t>에스팀</t>
        </is>
      </c>
      <c r="C2" t="inlineStr"/>
      <c r="D2" t="inlineStr"/>
      <c r="E2" t="n">
        <v>-0.1</v>
      </c>
      <c r="F2" t="n">
        <v>-4.2</v>
      </c>
      <c r="G2" t="n">
        <v>-13.4</v>
      </c>
      <c r="H2" t="n">
        <v>3.7</v>
      </c>
      <c r="I2" t="n">
        <v>12.2</v>
      </c>
      <c r="J2" t="n">
        <v>39</v>
      </c>
      <c r="K2" t="n">
        <v>5530</v>
      </c>
      <c r="L2" t="n">
        <v>40702</v>
      </c>
      <c r="M2" t="n">
        <v>2.2508206</v>
      </c>
      <c r="N2" t="n">
        <v>70708</v>
      </c>
      <c r="O2" t="n">
        <v>0.5756350059399219</v>
      </c>
      <c r="P2" t="n">
        <v>2.496613170916208</v>
      </c>
      <c r="Q2" t="n">
        <v>7.30725803788625</v>
      </c>
      <c r="R2" t="n">
        <v>5.967906140430469</v>
      </c>
      <c r="S2" t="n">
        <v>1.3</v>
      </c>
      <c r="T2" t="n">
        <v>-2.811950790861162</v>
      </c>
      <c r="U2" t="n">
        <v>-39.02976846747519</v>
      </c>
      <c r="V2" t="n">
        <v>6390</v>
      </c>
      <c r="W2" t="n">
        <v>7249.5</v>
      </c>
      <c r="X2" t="n">
        <v>10586.33333333333</v>
      </c>
      <c r="Y2" t="n">
        <v>0</v>
      </c>
      <c r="Z2" t="n">
        <v>0</v>
      </c>
      <c r="AA2" t="n">
        <v>0</v>
      </c>
      <c r="AB2" t="n">
        <v>4314.957583495841</v>
      </c>
      <c r="AC2" t="n">
        <v>17.5</v>
      </c>
      <c r="AD2" t="n">
        <v>53.7</v>
      </c>
      <c r="AE2" t="n">
        <v>30.4</v>
      </c>
      <c r="AF2" t="n">
        <v>38.2</v>
      </c>
      <c r="AG2" t="inlineStr">
        <is>
          <t>D</t>
        </is>
      </c>
    </row>
    <row r="3">
      <c r="A3" t="inlineStr">
        <is>
          <t>A279570</t>
        </is>
      </c>
      <c r="B3" t="inlineStr">
        <is>
          <t>케이뱅크</t>
        </is>
      </c>
      <c r="C3" t="inlineStr"/>
      <c r="D3" t="inlineStr"/>
      <c r="E3" t="n">
        <v>240.3</v>
      </c>
      <c r="F3" t="n">
        <v>1211.2</v>
      </c>
      <c r="G3" t="n">
        <v>2258.6</v>
      </c>
      <c r="H3" t="n">
        <v>-63.4</v>
      </c>
      <c r="I3" t="n">
        <v>-239.9</v>
      </c>
      <c r="J3" t="n">
        <v>-1491.9</v>
      </c>
      <c r="K3" t="n">
        <v>5590</v>
      </c>
      <c r="L3" t="n">
        <v>1577166</v>
      </c>
      <c r="M3" t="n">
        <v>88.1635794</v>
      </c>
      <c r="N3" t="n">
        <v>2297854.7</v>
      </c>
      <c r="O3" t="n">
        <v>0.6863645468967207</v>
      </c>
      <c r="P3" t="n">
        <v>2.213972721894809</v>
      </c>
      <c r="Q3" t="n">
        <v>40.36426079900728</v>
      </c>
      <c r="R3" t="n">
        <v>26.8587666912224</v>
      </c>
      <c r="S3" t="n">
        <v>13.5</v>
      </c>
      <c r="T3" t="n">
        <v>-0.1785714285714279</v>
      </c>
      <c r="U3" t="n">
        <v>-10.12861736334405</v>
      </c>
      <c r="V3" t="n">
        <v>5557</v>
      </c>
      <c r="W3" t="n">
        <v>5661.5</v>
      </c>
      <c r="X3" t="n">
        <v>6200.166666666667</v>
      </c>
      <c r="Y3" t="n">
        <v>1</v>
      </c>
      <c r="Z3" t="n">
        <v>0</v>
      </c>
      <c r="AA3" t="n">
        <v>0</v>
      </c>
      <c r="AB3" t="n">
        <v>1038.158288306242</v>
      </c>
      <c r="AC3" t="n">
        <v>81</v>
      </c>
      <c r="AD3" t="n">
        <v>52.4</v>
      </c>
      <c r="AE3" t="n">
        <v>37.8</v>
      </c>
      <c r="AF3" t="n">
        <v>58.1</v>
      </c>
      <c r="AG3" t="inlineStr">
        <is>
          <t>C</t>
        </is>
      </c>
    </row>
    <row r="4">
      <c r="A4" t="inlineStr">
        <is>
          <t>A490470</t>
        </is>
      </c>
      <c r="B4" t="inlineStr">
        <is>
          <t>세미파이브</t>
        </is>
      </c>
      <c r="C4" t="inlineStr"/>
      <c r="D4" t="inlineStr"/>
      <c r="E4" t="n">
        <v>-74.7</v>
      </c>
      <c r="F4" t="n">
        <v>-81.3</v>
      </c>
      <c r="G4" t="n">
        <v>-732.8</v>
      </c>
      <c r="H4" t="n">
        <v>236.9</v>
      </c>
      <c r="I4" t="n">
        <v>-1472.1</v>
      </c>
      <c r="J4" t="n">
        <v>-1500.4</v>
      </c>
      <c r="K4" t="n">
        <v>39500</v>
      </c>
      <c r="L4" t="n">
        <v>1032594</v>
      </c>
      <c r="M4" t="n">
        <v>407.87463</v>
      </c>
      <c r="N4" t="n">
        <v>1438503.2</v>
      </c>
      <c r="O4" t="n">
        <v>0.7178253061932709</v>
      </c>
      <c r="P4" t="n">
        <v>6.883846993182058</v>
      </c>
      <c r="Q4" t="n">
        <v>54.5999830746085</v>
      </c>
      <c r="R4" t="n">
        <v>26.02571245607309</v>
      </c>
      <c r="S4" t="n">
        <v>28.6</v>
      </c>
      <c r="T4" t="n">
        <v>2.199223803363526</v>
      </c>
      <c r="U4" t="n">
        <v>-6.949352179034157</v>
      </c>
      <c r="V4" t="n">
        <v>38125</v>
      </c>
      <c r="W4" t="n">
        <v>39382.5</v>
      </c>
      <c r="X4" t="n">
        <v>33277.5</v>
      </c>
      <c r="Y4" t="n">
        <v>1</v>
      </c>
      <c r="Z4" t="n">
        <v>1</v>
      </c>
      <c r="AA4" t="n">
        <v>1</v>
      </c>
      <c r="AB4" t="n">
        <v>14616.97283081699</v>
      </c>
      <c r="AC4" t="n">
        <v>90.7</v>
      </c>
      <c r="AD4" t="n">
        <v>27</v>
      </c>
      <c r="AE4" t="n">
        <v>43.7</v>
      </c>
      <c r="AF4" t="n">
        <v>49.4</v>
      </c>
      <c r="AG4" t="inlineStr">
        <is>
          <t>D</t>
        </is>
      </c>
    </row>
    <row r="5">
      <c r="A5" t="inlineStr">
        <is>
          <t>A491000</t>
        </is>
      </c>
      <c r="B5" t="inlineStr">
        <is>
          <t>리브스메드</t>
        </is>
      </c>
      <c r="C5" t="inlineStr"/>
      <c r="D5" t="inlineStr"/>
      <c r="E5" t="n">
        <v>-172</v>
      </c>
      <c r="F5" t="n">
        <v>-943</v>
      </c>
      <c r="G5" t="n">
        <v>-1937.8</v>
      </c>
      <c r="H5" t="n">
        <v>99</v>
      </c>
      <c r="I5" t="n">
        <v>-1058</v>
      </c>
      <c r="J5" t="n">
        <v>2455.5</v>
      </c>
      <c r="K5" t="n">
        <v>47950</v>
      </c>
      <c r="L5" t="n">
        <v>246292</v>
      </c>
      <c r="M5" t="n">
        <v>118.097014</v>
      </c>
      <c r="N5" t="n">
        <v>427429.9</v>
      </c>
      <c r="O5" t="n">
        <v>0.5762161233923971</v>
      </c>
      <c r="P5" t="n">
        <v>6.298643994817557</v>
      </c>
      <c r="Q5" t="n">
        <v>36.7054497270512</v>
      </c>
      <c r="R5" t="n">
        <v>26.41554619251697</v>
      </c>
      <c r="S5" t="n">
        <v>10.3</v>
      </c>
      <c r="T5" t="n">
        <v>-4.671968190854869</v>
      </c>
      <c r="U5" t="n">
        <v>-32.65449438202247</v>
      </c>
      <c r="V5" t="n">
        <v>60295</v>
      </c>
      <c r="W5" t="n">
        <v>62707.5</v>
      </c>
      <c r="X5" t="n">
        <v>68557.5</v>
      </c>
      <c r="Y5" t="n">
        <v>0</v>
      </c>
      <c r="Z5" t="n">
        <v>0</v>
      </c>
      <c r="AA5" t="n">
        <v>0</v>
      </c>
      <c r="AB5" t="n">
        <v>28915.14081620651</v>
      </c>
      <c r="AC5" t="n">
        <v>30.3</v>
      </c>
      <c r="AD5" t="n">
        <v>32.1</v>
      </c>
      <c r="AE5" t="n">
        <v>31.1</v>
      </c>
      <c r="AF5" t="n">
        <v>31.4</v>
      </c>
      <c r="AG5" t="inlineStr">
        <is>
          <t>D</t>
        </is>
      </c>
    </row>
    <row r="6">
      <c r="A6" t="inlineStr">
        <is>
          <t>A476830</t>
        </is>
      </c>
      <c r="B6" t="inlineStr">
        <is>
          <t>알지노믹스</t>
        </is>
      </c>
      <c r="C6" t="inlineStr"/>
      <c r="D6" t="inlineStr"/>
      <c r="E6" t="n">
        <v>-666.5</v>
      </c>
      <c r="F6" t="n">
        <v>-1189.2</v>
      </c>
      <c r="G6" t="n">
        <v>-5686.3</v>
      </c>
      <c r="H6" t="n">
        <v>941.7</v>
      </c>
      <c r="I6" t="n">
        <v>-690.4</v>
      </c>
      <c r="J6" t="n">
        <v>8416.4</v>
      </c>
      <c r="K6" t="n">
        <v>110900</v>
      </c>
      <c r="L6" t="n">
        <v>236799</v>
      </c>
      <c r="M6" t="n">
        <v>262.610091</v>
      </c>
      <c r="N6" t="n">
        <v>297174.4</v>
      </c>
      <c r="O6" t="n">
        <v>0.7968351244252533</v>
      </c>
      <c r="P6" t="n">
        <v>4.709751411748078</v>
      </c>
      <c r="Q6" t="n">
        <v>31.76852379445028</v>
      </c>
      <c r="R6" t="n">
        <v>19.06986234310081</v>
      </c>
      <c r="S6" t="n">
        <v>12.7</v>
      </c>
      <c r="T6" t="n">
        <v>-5.85738539898133</v>
      </c>
      <c r="U6" t="n">
        <v>-36.95281409891984</v>
      </c>
      <c r="V6" t="n">
        <v>131090</v>
      </c>
      <c r="W6" t="n">
        <v>145890</v>
      </c>
      <c r="X6" t="n">
        <v>178395</v>
      </c>
      <c r="Y6" t="n">
        <v>0</v>
      </c>
      <c r="Z6" t="n">
        <v>0</v>
      </c>
      <c r="AA6" t="n">
        <v>0</v>
      </c>
      <c r="AB6" t="n">
        <v>75769.83429752028</v>
      </c>
      <c r="AC6" t="n">
        <v>17.8</v>
      </c>
      <c r="AD6" t="n">
        <v>34.3</v>
      </c>
      <c r="AE6" t="n">
        <v>55.6</v>
      </c>
      <c r="AF6" t="n">
        <v>33.6</v>
      </c>
      <c r="AG6" t="inlineStr">
        <is>
          <t>D</t>
        </is>
      </c>
    </row>
    <row r="7">
      <c r="A7" t="inlineStr">
        <is>
          <t>A478340</t>
        </is>
      </c>
      <c r="B7" t="inlineStr">
        <is>
          <t>나라스페이스테크놀로지</t>
        </is>
      </c>
      <c r="C7" t="inlineStr"/>
      <c r="D7" t="inlineStr"/>
      <c r="E7" t="n">
        <v>-0.2</v>
      </c>
      <c r="F7" t="n">
        <v>-1</v>
      </c>
      <c r="G7" t="n">
        <v>-174.6</v>
      </c>
      <c r="H7" t="n">
        <v>42</v>
      </c>
      <c r="I7" t="n">
        <v>-52.6</v>
      </c>
      <c r="J7" t="n">
        <v>32</v>
      </c>
      <c r="K7" t="n">
        <v>22150</v>
      </c>
      <c r="L7" t="n">
        <v>221529</v>
      </c>
      <c r="M7" t="n">
        <v>49.0686735</v>
      </c>
      <c r="N7" t="n">
        <v>314990.8</v>
      </c>
      <c r="O7" t="n">
        <v>0.7032872071184302</v>
      </c>
      <c r="P7" t="n">
        <v>5.495130180933645</v>
      </c>
      <c r="Q7" t="n">
        <v>34.0015924499337</v>
      </c>
      <c r="R7" t="n">
        <v>28.21203645556005</v>
      </c>
      <c r="S7" t="n">
        <v>5.8</v>
      </c>
      <c r="T7" t="n">
        <v>-7.127882599580715</v>
      </c>
      <c r="U7" t="n">
        <v>-35.04398826979472</v>
      </c>
      <c r="V7" t="n">
        <v>27315</v>
      </c>
      <c r="W7" t="n">
        <v>29380</v>
      </c>
      <c r="X7" t="n">
        <v>35965.83333333334</v>
      </c>
      <c r="Y7" t="n">
        <v>0</v>
      </c>
      <c r="Z7" t="n">
        <v>0</v>
      </c>
      <c r="AA7" t="n">
        <v>0</v>
      </c>
      <c r="AB7" t="n">
        <v>12939.2751769667</v>
      </c>
      <c r="AC7" t="n">
        <v>17.9</v>
      </c>
      <c r="AD7" t="n">
        <v>49.9</v>
      </c>
      <c r="AE7" t="n">
        <v>42.2</v>
      </c>
      <c r="AF7" t="n">
        <v>38.8</v>
      </c>
      <c r="AG7" t="inlineStr">
        <is>
          <t>D</t>
        </is>
      </c>
    </row>
    <row r="8">
      <c r="A8" t="inlineStr">
        <is>
          <t>A217590</t>
        </is>
      </c>
      <c r="B8" t="inlineStr">
        <is>
          <t>티엠씨</t>
        </is>
      </c>
      <c r="C8" t="inlineStr"/>
      <c r="D8" t="inlineStr"/>
      <c r="E8" t="n">
        <v>5.8</v>
      </c>
      <c r="F8" t="n">
        <v>-104.5</v>
      </c>
      <c r="G8" t="n">
        <v>-1.1</v>
      </c>
      <c r="H8" t="n">
        <v>102</v>
      </c>
      <c r="I8" t="n">
        <v>205.9</v>
      </c>
      <c r="J8" t="n">
        <v>215.2</v>
      </c>
      <c r="K8" t="n">
        <v>18950</v>
      </c>
      <c r="L8" t="n">
        <v>297336</v>
      </c>
      <c r="M8" t="n">
        <v>56.345172</v>
      </c>
      <c r="N8" t="n">
        <v>591726.05</v>
      </c>
      <c r="O8" t="n">
        <v>0.5024892853711611</v>
      </c>
      <c r="P8" t="n">
        <v>7.546723572052962</v>
      </c>
      <c r="Q8" t="n">
        <v>34.03087434982177</v>
      </c>
      <c r="R8" t="n">
        <v>42.36587296830988</v>
      </c>
      <c r="S8" t="n">
        <v>-8.300000000000001</v>
      </c>
      <c r="T8" t="n">
        <v>-9.54653937947494</v>
      </c>
      <c r="U8" t="n">
        <v>-34.54231433506045</v>
      </c>
      <c r="V8" t="n">
        <v>24970</v>
      </c>
      <c r="W8" t="n">
        <v>26972.5</v>
      </c>
      <c r="X8" t="n">
        <v>24539.66666666667</v>
      </c>
      <c r="Y8" t="n">
        <v>0</v>
      </c>
      <c r="Z8" t="n">
        <v>0</v>
      </c>
      <c r="AA8" t="n">
        <v>0</v>
      </c>
      <c r="AB8" t="n">
        <v>15487.6487291614</v>
      </c>
      <c r="AC8" t="n">
        <v>16.9</v>
      </c>
      <c r="AD8" t="n">
        <v>71.2</v>
      </c>
      <c r="AE8" t="n">
        <v>23.7</v>
      </c>
      <c r="AF8" t="n">
        <v>45.4</v>
      </c>
      <c r="AG8" t="inlineStr">
        <is>
          <t>D</t>
        </is>
      </c>
    </row>
    <row r="9">
      <c r="A9" t="inlineStr">
        <is>
          <t>A464490</t>
        </is>
      </c>
      <c r="B9" t="inlineStr">
        <is>
          <t>쿼드메디슨</t>
        </is>
      </c>
      <c r="C9" t="inlineStr"/>
      <c r="D9" t="inlineStr"/>
      <c r="E9" t="n">
        <v>-1.6</v>
      </c>
      <c r="F9" t="n">
        <v>9.699999999999999</v>
      </c>
      <c r="G9" t="n">
        <v>-8.199999999999999</v>
      </c>
      <c r="H9" t="n">
        <v>14.1</v>
      </c>
      <c r="I9" t="n">
        <v>30.9</v>
      </c>
      <c r="J9" t="n">
        <v>133.6</v>
      </c>
      <c r="K9" t="n">
        <v>8410</v>
      </c>
      <c r="L9" t="n">
        <v>88611</v>
      </c>
      <c r="M9" t="n">
        <v>7.4521851</v>
      </c>
      <c r="N9" t="n">
        <v>115005.3</v>
      </c>
      <c r="O9" t="n">
        <v>0.7704949250164992</v>
      </c>
      <c r="P9" t="n">
        <v>3.041954852925709</v>
      </c>
      <c r="Q9" t="n">
        <v>24.54219140866352</v>
      </c>
      <c r="R9" t="n">
        <v>6.974478772033324</v>
      </c>
      <c r="S9" t="n">
        <v>17.6</v>
      </c>
      <c r="T9" t="n">
        <v>-0.708382526564344</v>
      </c>
      <c r="U9" t="n">
        <v>-37.14499252615845</v>
      </c>
      <c r="V9" t="n">
        <v>9594</v>
      </c>
      <c r="W9" t="n">
        <v>10616</v>
      </c>
      <c r="X9" t="n">
        <v>12978.66666666667</v>
      </c>
      <c r="Y9" t="n">
        <v>0</v>
      </c>
      <c r="Z9" t="n">
        <v>0</v>
      </c>
      <c r="AA9" t="n">
        <v>0</v>
      </c>
      <c r="AB9" t="n">
        <v>5024.460589011211</v>
      </c>
      <c r="AC9" t="n">
        <v>26.8</v>
      </c>
      <c r="AD9" t="n">
        <v>65</v>
      </c>
      <c r="AE9" t="n">
        <v>51.9</v>
      </c>
      <c r="AF9" t="n">
        <v>50.9</v>
      </c>
      <c r="AG9" t="inlineStr">
        <is>
          <t>C</t>
        </is>
      </c>
    </row>
    <row r="10">
      <c r="A10" t="inlineStr">
        <is>
          <t>A261520</t>
        </is>
      </c>
      <c r="B10" t="inlineStr">
        <is>
          <t>이지스</t>
        </is>
      </c>
      <c r="C10" t="inlineStr"/>
      <c r="D10" t="inlineStr"/>
      <c r="E10" t="n">
        <v>0.1</v>
      </c>
      <c r="F10" t="n">
        <v>0</v>
      </c>
      <c r="G10" t="n">
        <v>-53.1</v>
      </c>
      <c r="H10" t="n">
        <v>4.6</v>
      </c>
      <c r="I10" t="n">
        <v>8.9</v>
      </c>
      <c r="J10" t="n">
        <v>29.9</v>
      </c>
      <c r="K10" t="n">
        <v>4925</v>
      </c>
      <c r="L10" t="n">
        <v>69576</v>
      </c>
      <c r="M10" t="n">
        <v>3.426618</v>
      </c>
      <c r="N10" t="n">
        <v>74482.05</v>
      </c>
      <c r="O10" t="n">
        <v>0.9341311094418051</v>
      </c>
      <c r="P10" t="n">
        <v>2.970360607339964</v>
      </c>
      <c r="Q10" t="n">
        <v>25.20425142454076</v>
      </c>
      <c r="R10" t="n">
        <v>10.94585673404246</v>
      </c>
      <c r="S10" t="n">
        <v>14.3</v>
      </c>
      <c r="T10" t="n">
        <v>-3.431372549019607</v>
      </c>
      <c r="U10" t="n">
        <v>-37.42058449809403</v>
      </c>
      <c r="V10" t="n">
        <v>5604.5</v>
      </c>
      <c r="W10" t="n">
        <v>6262.25</v>
      </c>
      <c r="X10" t="n">
        <v>7817.083333333333</v>
      </c>
      <c r="Y10" t="n">
        <v>0</v>
      </c>
      <c r="Z10" t="n">
        <v>0</v>
      </c>
      <c r="AA10" t="n">
        <v>0</v>
      </c>
      <c r="AB10" t="n">
        <v>3257.163603020595</v>
      </c>
      <c r="AC10" t="n">
        <v>19.5</v>
      </c>
      <c r="AD10" t="n">
        <v>61.1</v>
      </c>
      <c r="AE10" t="n">
        <v>63.7</v>
      </c>
      <c r="AF10" t="n">
        <v>49.1</v>
      </c>
      <c r="AG10" t="inlineStr">
        <is>
          <t>D</t>
        </is>
      </c>
    </row>
    <row r="11">
      <c r="A11" t="inlineStr">
        <is>
          <t>A950250</t>
        </is>
      </c>
      <c r="B11" t="inlineStr">
        <is>
          <t>테라뷰</t>
        </is>
      </c>
      <c r="C11" t="inlineStr"/>
      <c r="D11" t="inlineStr"/>
      <c r="E11" t="n">
        <v>0.1</v>
      </c>
      <c r="F11" t="n">
        <v>0.1</v>
      </c>
      <c r="G11" t="n">
        <v>-30.6</v>
      </c>
      <c r="H11" t="n">
        <v>40.5</v>
      </c>
      <c r="I11" t="n">
        <v>-171</v>
      </c>
      <c r="J11" t="n">
        <v>-152.8</v>
      </c>
      <c r="K11" t="n">
        <v>3410</v>
      </c>
      <c r="L11" t="n">
        <v>742199</v>
      </c>
      <c r="M11" t="n">
        <v>25.3089859</v>
      </c>
      <c r="N11" t="n">
        <v>959310.6</v>
      </c>
      <c r="O11" t="n">
        <v>0.773679556965179</v>
      </c>
      <c r="P11" t="n">
        <v>3.843423251083915</v>
      </c>
      <c r="Q11" t="n">
        <v>22.20644255732064</v>
      </c>
      <c r="R11" t="n">
        <v>10.70782404541345</v>
      </c>
      <c r="S11" t="n">
        <v>11.5</v>
      </c>
      <c r="T11" t="n">
        <v>-7.08446866485014</v>
      </c>
      <c r="U11" t="n">
        <v>-49.63072378138848</v>
      </c>
      <c r="V11" t="n">
        <v>4170.5</v>
      </c>
      <c r="W11" t="n">
        <v>4928</v>
      </c>
      <c r="X11" t="n">
        <v>6460.666666666667</v>
      </c>
      <c r="Y11" t="n">
        <v>0</v>
      </c>
      <c r="Z11" t="n">
        <v>0</v>
      </c>
      <c r="AA11" t="n">
        <v>0</v>
      </c>
      <c r="AB11" t="n">
        <v>3793.814356082945</v>
      </c>
      <c r="AC11" t="n">
        <v>4.2</v>
      </c>
      <c r="AD11" t="n">
        <v>52.6</v>
      </c>
      <c r="AE11" t="n">
        <v>52.6</v>
      </c>
      <c r="AF11" t="n">
        <v>38.1</v>
      </c>
      <c r="AG11" t="inlineStr">
        <is>
          <t>D</t>
        </is>
      </c>
    </row>
    <row r="12">
      <c r="A12" t="inlineStr">
        <is>
          <t>A488900</t>
        </is>
      </c>
      <c r="B12" t="inlineStr">
        <is>
          <t>비츠로넥스텍</t>
        </is>
      </c>
      <c r="C12" t="inlineStr"/>
      <c r="D12" t="inlineStr"/>
      <c r="E12" t="n">
        <v>0.5</v>
      </c>
      <c r="F12" t="n">
        <v>-135.2</v>
      </c>
      <c r="G12" t="n">
        <v>-459.9</v>
      </c>
      <c r="H12" t="n">
        <v>49.3</v>
      </c>
      <c r="I12" t="n">
        <v>34</v>
      </c>
      <c r="J12" t="n">
        <v>135</v>
      </c>
      <c r="K12" t="n">
        <v>12050</v>
      </c>
      <c r="L12" t="n">
        <v>113575</v>
      </c>
      <c r="M12" t="n">
        <v>13.6857875</v>
      </c>
      <c r="N12" t="n">
        <v>138057.95</v>
      </c>
      <c r="O12" t="n">
        <v>0.8226617880390081</v>
      </c>
      <c r="P12" t="n">
        <v>4.153607517286427</v>
      </c>
      <c r="Q12" t="n">
        <v>28.85194285790537</v>
      </c>
      <c r="R12" t="n">
        <v>17.30643423892997</v>
      </c>
      <c r="S12" t="n">
        <v>11.5</v>
      </c>
      <c r="T12" t="n">
        <v>-3.600000000000003</v>
      </c>
      <c r="U12" t="n">
        <v>-35.457953936797</v>
      </c>
      <c r="V12" t="n">
        <v>14506</v>
      </c>
      <c r="W12" t="n">
        <v>16299</v>
      </c>
      <c r="X12" t="n">
        <v>17843.33333333333</v>
      </c>
      <c r="Y12" t="n">
        <v>0</v>
      </c>
      <c r="Z12" t="n">
        <v>0</v>
      </c>
      <c r="AA12" t="n">
        <v>0</v>
      </c>
      <c r="AB12" t="n">
        <v>8973.231771276871</v>
      </c>
      <c r="AC12" t="n">
        <v>23.8</v>
      </c>
      <c r="AD12" t="n">
        <v>60.2</v>
      </c>
      <c r="AE12" t="n">
        <v>57.8</v>
      </c>
      <c r="AF12" t="n">
        <v>48.8</v>
      </c>
      <c r="AG12" t="inlineStr">
        <is>
          <t>D</t>
        </is>
      </c>
    </row>
    <row r="13">
      <c r="A13" t="inlineStr">
        <is>
          <t>A388210</t>
        </is>
      </c>
      <c r="B13" t="inlineStr">
        <is>
          <t>씨엠티엑스</t>
        </is>
      </c>
      <c r="C13" t="inlineStr"/>
      <c r="D13" t="inlineStr"/>
      <c r="E13" t="n">
        <v>110.5</v>
      </c>
      <c r="F13" t="n">
        <v>-1078.2</v>
      </c>
      <c r="G13" t="n">
        <v>-4578.9</v>
      </c>
      <c r="H13" t="n">
        <v>446.5</v>
      </c>
      <c r="I13" t="n">
        <v>919.2</v>
      </c>
      <c r="J13" t="n">
        <v>1315.4</v>
      </c>
      <c r="K13" t="n">
        <v>108200</v>
      </c>
      <c r="L13" t="n">
        <v>148839</v>
      </c>
      <c r="M13" t="n">
        <v>161.043798</v>
      </c>
      <c r="N13" t="n">
        <v>126614.9</v>
      </c>
      <c r="O13" t="n">
        <v>1.175525155412199</v>
      </c>
      <c r="P13" t="n">
        <v>4.355682608570269</v>
      </c>
      <c r="Q13" t="n">
        <v>40.97171797753056</v>
      </c>
      <c r="R13" t="n">
        <v>33.37061233579075</v>
      </c>
      <c r="S13" t="n">
        <v>7.6</v>
      </c>
      <c r="T13" t="n">
        <v>-4.920913884007028</v>
      </c>
      <c r="U13" t="n">
        <v>-23.09879175550817</v>
      </c>
      <c r="V13" t="n">
        <v>114240</v>
      </c>
      <c r="W13" t="n">
        <v>122125</v>
      </c>
      <c r="X13" t="n">
        <v>133943.3333333333</v>
      </c>
      <c r="Y13" t="n">
        <v>0</v>
      </c>
      <c r="Z13" t="n">
        <v>0</v>
      </c>
      <c r="AA13" t="n">
        <v>0</v>
      </c>
      <c r="AB13" t="n">
        <v>41234.40055916522</v>
      </c>
      <c r="AC13" t="n">
        <v>41.1</v>
      </c>
      <c r="AD13" t="n">
        <v>68</v>
      </c>
      <c r="AE13" t="n">
        <v>77.8</v>
      </c>
      <c r="AF13" t="n">
        <v>61.9</v>
      </c>
      <c r="AG13" t="inlineStr">
        <is>
          <t>C</t>
        </is>
      </c>
    </row>
    <row r="14">
      <c r="A14" t="inlineStr">
        <is>
          <t>A403850</t>
        </is>
      </c>
      <c r="B14" t="inlineStr">
        <is>
          <t>더핑크퐁컴퍼니</t>
        </is>
      </c>
      <c r="C14" t="inlineStr"/>
      <c r="D14" t="inlineStr"/>
      <c r="E14" t="n">
        <v>-4.8</v>
      </c>
      <c r="F14" t="n">
        <v>-12.7</v>
      </c>
      <c r="G14" t="n">
        <v>-315.6</v>
      </c>
      <c r="H14" t="n">
        <v>11.4</v>
      </c>
      <c r="I14" t="n">
        <v>20.6</v>
      </c>
      <c r="J14" t="n">
        <v>-0.6</v>
      </c>
      <c r="K14" t="n">
        <v>12660</v>
      </c>
      <c r="L14" t="n">
        <v>99562</v>
      </c>
      <c r="M14" t="n">
        <v>12.6045492</v>
      </c>
      <c r="N14" t="n">
        <v>69439.75</v>
      </c>
      <c r="O14" t="n">
        <v>1.433789724185355</v>
      </c>
      <c r="P14" t="n">
        <v>3.185633477312978</v>
      </c>
      <c r="Q14" t="n">
        <v>37.36401541349334</v>
      </c>
      <c r="R14" t="n">
        <v>12.78282587325873</v>
      </c>
      <c r="S14" t="n">
        <v>24.6</v>
      </c>
      <c r="T14" t="n">
        <v>6.119027661357923</v>
      </c>
      <c r="U14" t="n">
        <v>-27.53291356611334</v>
      </c>
      <c r="V14" t="n">
        <v>12664</v>
      </c>
      <c r="W14" t="n">
        <v>14057</v>
      </c>
      <c r="X14" t="n">
        <v>16164.5</v>
      </c>
      <c r="Y14" t="n">
        <v>0</v>
      </c>
      <c r="Z14" t="n">
        <v>0</v>
      </c>
      <c r="AA14" t="n">
        <v>0</v>
      </c>
      <c r="AB14" t="n">
        <v>6504.127920021267</v>
      </c>
      <c r="AC14" t="n">
        <v>54.2</v>
      </c>
      <c r="AD14" t="n">
        <v>48.6</v>
      </c>
      <c r="AE14" t="n">
        <v>86.7</v>
      </c>
      <c r="AF14" t="n">
        <v>57.9</v>
      </c>
      <c r="AG14" t="inlineStr">
        <is>
          <t>C</t>
        </is>
      </c>
    </row>
    <row r="15">
      <c r="A15" t="inlineStr">
        <is>
          <t>A061090</t>
        </is>
      </c>
      <c r="B15" t="inlineStr">
        <is>
          <t>세나테크놀로지</t>
        </is>
      </c>
      <c r="C15" t="inlineStr"/>
      <c r="D15" t="inlineStr"/>
      <c r="E15" t="n">
        <v>7.3</v>
      </c>
      <c r="F15" t="n">
        <v>22.5</v>
      </c>
      <c r="G15" t="n">
        <v>125</v>
      </c>
      <c r="H15" t="n">
        <v>38.8</v>
      </c>
      <c r="I15" t="n">
        <v>-14.3</v>
      </c>
      <c r="J15" t="n">
        <v>-126</v>
      </c>
      <c r="K15" t="n">
        <v>50800</v>
      </c>
      <c r="L15" t="n">
        <v>159742</v>
      </c>
      <c r="M15" t="n">
        <v>81.14893600000001</v>
      </c>
      <c r="N15" t="n">
        <v>94250.39999999999</v>
      </c>
      <c r="O15" t="n">
        <v>1.694868138490659</v>
      </c>
      <c r="P15" t="n">
        <v>7.972753561493061</v>
      </c>
      <c r="Q15" t="n">
        <v>61.2868842918286</v>
      </c>
      <c r="R15" t="n">
        <v>47.60768416143883</v>
      </c>
      <c r="S15" t="n">
        <v>13.7</v>
      </c>
      <c r="T15" t="n">
        <v>3.991811668372569</v>
      </c>
      <c r="U15" t="n">
        <v>19.38895417156287</v>
      </c>
      <c r="V15" t="n">
        <v>44840</v>
      </c>
      <c r="W15" t="n">
        <v>45457.5</v>
      </c>
      <c r="X15" t="n">
        <v>41008.33333333334</v>
      </c>
      <c r="Y15" t="n">
        <v>1</v>
      </c>
      <c r="Z15" t="n">
        <v>1</v>
      </c>
      <c r="AA15" t="n">
        <v>1</v>
      </c>
      <c r="AB15" t="n">
        <v>16739.52461124647</v>
      </c>
      <c r="AC15" t="n">
        <v>96.3</v>
      </c>
      <c r="AD15" t="n">
        <v>69.7</v>
      </c>
      <c r="AE15" t="n">
        <v>92.59999999999999</v>
      </c>
      <c r="AF15" t="n">
        <v>82.3</v>
      </c>
      <c r="AG15" t="inlineStr">
        <is>
          <t>A</t>
        </is>
      </c>
    </row>
    <row r="16">
      <c r="A16" t="inlineStr">
        <is>
          <t>A494120</t>
        </is>
      </c>
      <c r="B16" t="inlineStr">
        <is>
          <t>큐리오시스</t>
        </is>
      </c>
      <c r="C16" t="inlineStr"/>
      <c r="D16" t="inlineStr"/>
      <c r="E16" t="n">
        <v>-14.4</v>
      </c>
      <c r="F16" t="n">
        <v>-180.8</v>
      </c>
      <c r="G16" t="n">
        <v>-1430.7</v>
      </c>
      <c r="H16" t="n">
        <v>58.6</v>
      </c>
      <c r="I16" t="n">
        <v>502.8</v>
      </c>
      <c r="J16" t="n">
        <v>423.4</v>
      </c>
      <c r="K16" t="n">
        <v>29950</v>
      </c>
      <c r="L16" t="n">
        <v>67099</v>
      </c>
      <c r="M16" t="n">
        <v>20.0961505</v>
      </c>
      <c r="N16" t="n">
        <v>121924.4</v>
      </c>
      <c r="O16" t="n">
        <v>0.5503328291957967</v>
      </c>
      <c r="P16" t="n">
        <v>5.561856392865087</v>
      </c>
      <c r="Q16" t="n">
        <v>28.14078281041077</v>
      </c>
      <c r="R16" t="n">
        <v>17.69968328438823</v>
      </c>
      <c r="S16" t="n">
        <v>10.4</v>
      </c>
      <c r="T16" t="n">
        <v>-4.920634920634925</v>
      </c>
      <c r="U16" t="n">
        <v>-42.40384615384615</v>
      </c>
      <c r="V16" t="n">
        <v>37775</v>
      </c>
      <c r="W16" t="n">
        <v>44052.5</v>
      </c>
      <c r="X16" t="n">
        <v>55169.16666666666</v>
      </c>
      <c r="Y16" t="n">
        <v>0</v>
      </c>
      <c r="Z16" t="n">
        <v>0</v>
      </c>
      <c r="AA16" t="n">
        <v>0</v>
      </c>
      <c r="AB16" t="n">
        <v>30479.98307776829</v>
      </c>
      <c r="AC16" t="n">
        <v>13.9</v>
      </c>
      <c r="AD16" t="n">
        <v>52.4</v>
      </c>
      <c r="AE16" t="n">
        <v>28.1</v>
      </c>
      <c r="AF16" t="n">
        <v>36</v>
      </c>
      <c r="AG16" t="inlineStr">
        <is>
          <t>D</t>
        </is>
      </c>
    </row>
    <row r="17">
      <c r="A17" t="inlineStr">
        <is>
          <t>A469610</t>
        </is>
      </c>
      <c r="B17" t="inlineStr">
        <is>
          <t>이노테크</t>
        </is>
      </c>
      <c r="C17" t="inlineStr"/>
      <c r="D17" t="inlineStr"/>
      <c r="E17" t="n">
        <v>0.2</v>
      </c>
      <c r="F17" t="n">
        <v>-20.3</v>
      </c>
      <c r="G17" t="n">
        <v>-865.1</v>
      </c>
      <c r="H17" t="n">
        <v>4.3</v>
      </c>
      <c r="I17" t="n">
        <v>-59.7</v>
      </c>
      <c r="J17" t="n">
        <v>-42</v>
      </c>
      <c r="K17" t="n">
        <v>16580</v>
      </c>
      <c r="L17" t="n">
        <v>119932</v>
      </c>
      <c r="M17" t="n">
        <v>19.8847256</v>
      </c>
      <c r="N17" t="n">
        <v>172266.95</v>
      </c>
      <c r="O17" t="n">
        <v>0.6961985453390798</v>
      </c>
      <c r="P17" t="n">
        <v>7.168073639340953</v>
      </c>
      <c r="Q17" t="n">
        <v>37.83559436743865</v>
      </c>
      <c r="R17" t="n">
        <v>31.71259189077826</v>
      </c>
      <c r="S17" t="n">
        <v>6.1</v>
      </c>
      <c r="T17" t="n">
        <v>-6.801573917931425</v>
      </c>
      <c r="U17" t="n">
        <v>-37.66917293233082</v>
      </c>
      <c r="V17" t="n">
        <v>18929</v>
      </c>
      <c r="W17" t="n">
        <v>20258.5</v>
      </c>
      <c r="X17" t="n">
        <v>21267</v>
      </c>
      <c r="Y17" t="n">
        <v>0</v>
      </c>
      <c r="Z17" t="n">
        <v>0</v>
      </c>
      <c r="AA17" t="n">
        <v>0</v>
      </c>
      <c r="AB17" t="n">
        <v>9058.074850651225</v>
      </c>
      <c r="AC17" t="n">
        <v>20.3</v>
      </c>
      <c r="AD17" t="n">
        <v>41.2</v>
      </c>
      <c r="AE17" t="n">
        <v>39.3</v>
      </c>
      <c r="AF17" t="n">
        <v>34.6</v>
      </c>
      <c r="AG17" t="inlineStr">
        <is>
          <t>D</t>
        </is>
      </c>
    </row>
    <row r="18">
      <c r="A18" t="inlineStr">
        <is>
          <t>A486990</t>
        </is>
      </c>
      <c r="B18" t="inlineStr">
        <is>
          <t>노타</t>
        </is>
      </c>
      <c r="C18" t="inlineStr"/>
      <c r="D18" t="inlineStr"/>
      <c r="E18" t="n">
        <v>27</v>
      </c>
      <c r="F18" t="n">
        <v>-136.4</v>
      </c>
      <c r="G18" t="n">
        <v>-487.9</v>
      </c>
      <c r="H18" t="n">
        <v>105.4</v>
      </c>
      <c r="I18" t="n">
        <v>-233.1</v>
      </c>
      <c r="J18" t="n">
        <v>-81.40000000000001</v>
      </c>
      <c r="K18" t="n">
        <v>34900</v>
      </c>
      <c r="L18" t="n">
        <v>909226</v>
      </c>
      <c r="M18" t="n">
        <v>317.319874</v>
      </c>
      <c r="N18" t="n">
        <v>592710.55</v>
      </c>
      <c r="O18" t="n">
        <v>1.534013524814093</v>
      </c>
      <c r="P18" t="n">
        <v>7.184475807697392</v>
      </c>
      <c r="Q18" t="n">
        <v>55.21930625642727</v>
      </c>
      <c r="R18" t="n">
        <v>54.49986824784426</v>
      </c>
      <c r="S18" t="n">
        <v>0.7</v>
      </c>
      <c r="T18" t="n">
        <v>-7.79392338177014</v>
      </c>
      <c r="U18" t="n">
        <v>-1.55148095909732</v>
      </c>
      <c r="V18" t="n">
        <v>31300</v>
      </c>
      <c r="W18" t="n">
        <v>31837.5</v>
      </c>
      <c r="X18" t="n">
        <v>35208.33333333334</v>
      </c>
      <c r="Y18" t="n">
        <v>1</v>
      </c>
      <c r="Z18" t="n">
        <v>1</v>
      </c>
      <c r="AA18" t="n">
        <v>0</v>
      </c>
      <c r="AB18" t="n">
        <v>14203.90976567997</v>
      </c>
      <c r="AC18" t="n">
        <v>67.8</v>
      </c>
      <c r="AD18" t="n">
        <v>47.4</v>
      </c>
      <c r="AE18" t="n">
        <v>89.59999999999999</v>
      </c>
      <c r="AF18" t="n">
        <v>62</v>
      </c>
      <c r="AG18" t="inlineStr">
        <is>
          <t>C</t>
        </is>
      </c>
    </row>
    <row r="19">
      <c r="A19" t="inlineStr">
        <is>
          <t>A317450</t>
        </is>
      </c>
      <c r="B19" t="inlineStr">
        <is>
          <t>명인제약</t>
        </is>
      </c>
      <c r="C19" t="inlineStr"/>
      <c r="D19" t="inlineStr"/>
      <c r="E19" t="n">
        <v>-1.5</v>
      </c>
      <c r="F19" t="n">
        <v>-38.3</v>
      </c>
      <c r="G19" t="n">
        <v>-327.6</v>
      </c>
      <c r="H19" t="n">
        <v>-14.2</v>
      </c>
      <c r="I19" t="n">
        <v>-91.09999999999999</v>
      </c>
      <c r="J19" t="n">
        <v>-149.9</v>
      </c>
      <c r="K19" t="n">
        <v>45450</v>
      </c>
      <c r="L19" t="n">
        <v>26373</v>
      </c>
      <c r="M19" t="n">
        <v>11.9865285</v>
      </c>
      <c r="N19" t="n">
        <v>24463.95</v>
      </c>
      <c r="O19" t="n">
        <v>1.078035231432373</v>
      </c>
      <c r="P19" t="n">
        <v>1.746000394812256</v>
      </c>
      <c r="Q19" t="n">
        <v>29.72295515456108</v>
      </c>
      <c r="R19" t="n">
        <v>14.61215744224636</v>
      </c>
      <c r="S19" t="n">
        <v>15.1</v>
      </c>
      <c r="T19" t="n">
        <v>-0.5470459518599591</v>
      </c>
      <c r="U19" t="n">
        <v>-18.54838709677419</v>
      </c>
      <c r="V19" t="n">
        <v>48425</v>
      </c>
      <c r="W19" t="n">
        <v>50672.5</v>
      </c>
      <c r="X19" t="n">
        <v>54947.5</v>
      </c>
      <c r="Y19" t="n">
        <v>0</v>
      </c>
      <c r="Z19" t="n">
        <v>0</v>
      </c>
      <c r="AA19" t="n">
        <v>0</v>
      </c>
      <c r="AB19" t="n">
        <v>11471.6079724547</v>
      </c>
      <c r="AC19" t="n">
        <v>47.5</v>
      </c>
      <c r="AD19" t="n">
        <v>25</v>
      </c>
      <c r="AE19" t="n">
        <v>74.09999999999999</v>
      </c>
      <c r="AF19" t="n">
        <v>41.6</v>
      </c>
      <c r="AG19" t="inlineStr">
        <is>
          <t>D</t>
        </is>
      </c>
    </row>
    <row r="20">
      <c r="A20" t="inlineStr">
        <is>
          <t>A488280</t>
        </is>
      </c>
      <c r="B20" t="inlineStr">
        <is>
          <t>에스투더블유</t>
        </is>
      </c>
      <c r="C20" t="inlineStr"/>
      <c r="D20" t="inlineStr"/>
      <c r="E20" t="n">
        <v>-51.8</v>
      </c>
      <c r="F20" t="n">
        <v>-107.2</v>
      </c>
      <c r="G20" t="n">
        <v>-589.4</v>
      </c>
      <c r="H20" t="n">
        <v>35.8</v>
      </c>
      <c r="I20" t="n">
        <v>-5.2</v>
      </c>
      <c r="J20" t="n">
        <v>41.5</v>
      </c>
      <c r="K20" t="n">
        <v>17760</v>
      </c>
      <c r="L20" t="n">
        <v>174273</v>
      </c>
      <c r="M20" t="n">
        <v>30.9508848</v>
      </c>
      <c r="N20" t="n">
        <v>418923.45</v>
      </c>
      <c r="O20" t="n">
        <v>0.416002016597543</v>
      </c>
      <c r="P20" t="n">
        <v>9.596091054076275</v>
      </c>
      <c r="Q20" t="n">
        <v>40.07255585112465</v>
      </c>
      <c r="R20" t="n">
        <v>46.24722383147407</v>
      </c>
      <c r="S20" t="n">
        <v>-6.2</v>
      </c>
      <c r="T20" t="n">
        <v>-6.673673147661585</v>
      </c>
      <c r="U20" t="n">
        <v>-30.21611001964637</v>
      </c>
      <c r="V20" t="n">
        <v>22789</v>
      </c>
      <c r="W20" t="n">
        <v>24952</v>
      </c>
      <c r="X20" t="n">
        <v>19820.33333333333</v>
      </c>
      <c r="Y20" t="n">
        <v>0</v>
      </c>
      <c r="Z20" t="n">
        <v>0</v>
      </c>
      <c r="AA20" t="n">
        <v>0</v>
      </c>
      <c r="AB20" t="n">
        <v>13284.09955746466</v>
      </c>
      <c r="AC20" t="n">
        <v>30.1</v>
      </c>
      <c r="AD20" t="n">
        <v>40.8</v>
      </c>
      <c r="AE20" t="n">
        <v>16.3</v>
      </c>
      <c r="AF20" t="n">
        <v>32.7</v>
      </c>
      <c r="AG20" t="inlineStr">
        <is>
          <t>D</t>
        </is>
      </c>
    </row>
    <row r="21">
      <c r="A21" t="inlineStr">
        <is>
          <t>A318060</t>
        </is>
      </c>
      <c r="B21" t="inlineStr">
        <is>
          <t>그래피</t>
        </is>
      </c>
      <c r="C21" t="inlineStr"/>
      <c r="D21" t="inlineStr"/>
      <c r="E21" t="n">
        <v>0.1</v>
      </c>
      <c r="F21" t="n">
        <v>8.4</v>
      </c>
      <c r="G21" t="n">
        <v>-331.7</v>
      </c>
      <c r="H21" t="n">
        <v>107.3</v>
      </c>
      <c r="I21" t="n">
        <v>359.6</v>
      </c>
      <c r="J21" t="n">
        <v>1157.2</v>
      </c>
      <c r="K21" t="n">
        <v>22450</v>
      </c>
      <c r="L21" t="n">
        <v>218985</v>
      </c>
      <c r="M21" t="n">
        <v>49.1621325</v>
      </c>
      <c r="N21" t="n">
        <v>203152.9</v>
      </c>
      <c r="O21" t="n">
        <v>1.077931941901888</v>
      </c>
      <c r="P21" t="n">
        <v>4.515472771592228</v>
      </c>
      <c r="Q21" t="n">
        <v>29.64233466894202</v>
      </c>
      <c r="R21" t="n">
        <v>14.01486732322684</v>
      </c>
      <c r="S21" t="n">
        <v>15.6</v>
      </c>
      <c r="T21" t="n">
        <v>2.04545454545455</v>
      </c>
      <c r="U21" t="n">
        <v>-32.37951807228915</v>
      </c>
      <c r="V21" t="n">
        <v>25010</v>
      </c>
      <c r="W21" t="n">
        <v>27162.5</v>
      </c>
      <c r="X21" t="n">
        <v>36868.33333333334</v>
      </c>
      <c r="Y21" t="n">
        <v>0</v>
      </c>
      <c r="Z21" t="n">
        <v>0</v>
      </c>
      <c r="AA21" t="n">
        <v>0</v>
      </c>
      <c r="AB21" t="n">
        <v>11443.56863735673</v>
      </c>
      <c r="AC21" t="n">
        <v>40</v>
      </c>
      <c r="AD21" t="n">
        <v>76.90000000000001</v>
      </c>
      <c r="AE21" t="n">
        <v>73.3</v>
      </c>
      <c r="AF21" t="n">
        <v>65.09999999999999</v>
      </c>
      <c r="AG21" t="inlineStr">
        <is>
          <t>B</t>
        </is>
      </c>
    </row>
    <row r="22">
      <c r="A22" t="inlineStr">
        <is>
          <t>A125490</t>
        </is>
      </c>
      <c r="B22" t="inlineStr">
        <is>
          <t>한라캐스트</t>
        </is>
      </c>
      <c r="C22" t="inlineStr"/>
      <c r="D22" t="inlineStr"/>
      <c r="E22" t="n">
        <v>-3.7</v>
      </c>
      <c r="F22" t="n">
        <v>-94.40000000000001</v>
      </c>
      <c r="G22" t="n">
        <v>-882.3</v>
      </c>
      <c r="H22" t="n">
        <v>28.7</v>
      </c>
      <c r="I22" t="n">
        <v>358.3</v>
      </c>
      <c r="J22" t="n">
        <v>-157</v>
      </c>
      <c r="K22" t="n">
        <v>13020</v>
      </c>
      <c r="L22" t="n">
        <v>1299078</v>
      </c>
      <c r="M22" t="n">
        <v>169.1399556</v>
      </c>
      <c r="N22" t="n">
        <v>2274002.9</v>
      </c>
      <c r="O22" t="n">
        <v>0.5712736777952219</v>
      </c>
      <c r="P22" t="n">
        <v>5.609105388796253</v>
      </c>
      <c r="Q22" t="n">
        <v>39.37040132515766</v>
      </c>
      <c r="R22" t="n">
        <v>32.67277246351814</v>
      </c>
      <c r="S22" t="n">
        <v>6.7</v>
      </c>
      <c r="T22" t="n">
        <v>-6.800286327845384</v>
      </c>
      <c r="U22" t="n">
        <v>-23.99299474605954</v>
      </c>
      <c r="V22" t="n">
        <v>14753</v>
      </c>
      <c r="W22" t="n">
        <v>15855</v>
      </c>
      <c r="X22" t="n">
        <v>15492.5</v>
      </c>
      <c r="Y22" t="n">
        <v>0</v>
      </c>
      <c r="Z22" t="n">
        <v>0</v>
      </c>
      <c r="AA22" t="n">
        <v>0</v>
      </c>
      <c r="AB22" t="n">
        <v>6217.171467205289</v>
      </c>
      <c r="AC22" t="n">
        <v>34.7</v>
      </c>
      <c r="AD22" t="n">
        <v>43.9</v>
      </c>
      <c r="AE22" t="n">
        <v>29.6</v>
      </c>
      <c r="AF22" t="n">
        <v>38.3</v>
      </c>
      <c r="AG22" t="inlineStr">
        <is>
          <t>D</t>
        </is>
      </c>
    </row>
    <row r="23">
      <c r="A23" t="inlineStr">
        <is>
          <t>A484590</t>
        </is>
      </c>
      <c r="B23" t="inlineStr">
        <is>
          <t>삼양컴텍</t>
        </is>
      </c>
      <c r="C23" t="inlineStr"/>
      <c r="D23" t="inlineStr"/>
      <c r="E23" t="n">
        <v>-3.4</v>
      </c>
      <c r="F23" t="n">
        <v>-105.6</v>
      </c>
      <c r="G23" t="n">
        <v>-163.5</v>
      </c>
      <c r="H23" t="n">
        <v>21.2</v>
      </c>
      <c r="I23" t="n">
        <v>-58.1</v>
      </c>
      <c r="J23" t="n">
        <v>-345.7</v>
      </c>
      <c r="K23" t="n">
        <v>7810</v>
      </c>
      <c r="L23" t="n">
        <v>338312</v>
      </c>
      <c r="M23" t="n">
        <v>26.4221672</v>
      </c>
      <c r="N23" t="n">
        <v>199678.05</v>
      </c>
      <c r="O23" t="n">
        <v>1.69428737910852</v>
      </c>
      <c r="P23" t="n">
        <v>4.248900346229237</v>
      </c>
      <c r="Q23" t="n">
        <v>24.79805363999838</v>
      </c>
      <c r="R23" t="n">
        <v>13.10664716852041</v>
      </c>
      <c r="S23" t="n">
        <v>11.7</v>
      </c>
      <c r="T23" t="n">
        <v>-4.872107186358098</v>
      </c>
      <c r="U23" t="n">
        <v>-40.10736196319019</v>
      </c>
      <c r="V23" t="n">
        <v>9214</v>
      </c>
      <c r="W23" t="n">
        <v>10321.5</v>
      </c>
      <c r="X23" t="n">
        <v>11866.83333333333</v>
      </c>
      <c r="Y23" t="n">
        <v>0</v>
      </c>
      <c r="Z23" t="n">
        <v>0</v>
      </c>
      <c r="AA23" t="n">
        <v>0</v>
      </c>
      <c r="AB23" t="n">
        <v>5642.75819081415</v>
      </c>
      <c r="AC23" t="n">
        <v>12.9</v>
      </c>
      <c r="AD23" t="n">
        <v>33.4</v>
      </c>
      <c r="AE23" t="n">
        <v>91.90000000000001</v>
      </c>
      <c r="AF23" t="n">
        <v>39</v>
      </c>
      <c r="AG23" t="inlineStr">
        <is>
          <t>D</t>
        </is>
      </c>
    </row>
    <row r="24">
      <c r="A24" t="inlineStr">
        <is>
          <t>A456160</t>
        </is>
      </c>
      <c r="B24" t="inlineStr">
        <is>
          <t>지투지바이오</t>
        </is>
      </c>
      <c r="C24" t="inlineStr"/>
      <c r="D24" t="inlineStr"/>
      <c r="E24" t="n">
        <v>-542.4</v>
      </c>
      <c r="F24" t="n">
        <v>-701.9</v>
      </c>
      <c r="G24" t="n">
        <v>698.8</v>
      </c>
      <c r="H24" t="n">
        <v>519</v>
      </c>
      <c r="I24" t="n">
        <v>-602.9</v>
      </c>
      <c r="J24" t="n">
        <v>451.5</v>
      </c>
      <c r="K24" t="n">
        <v>53700</v>
      </c>
      <c r="L24" t="n">
        <v>139447</v>
      </c>
      <c r="M24" t="n">
        <v>74.883039</v>
      </c>
      <c r="N24" t="n">
        <v>292731.4</v>
      </c>
      <c r="O24" t="n">
        <v>0.4763650226794939</v>
      </c>
      <c r="P24" t="n">
        <v>4.826894838844607</v>
      </c>
      <c r="Q24" t="n">
        <v>32.88744064714059</v>
      </c>
      <c r="R24" t="n">
        <v>12.69507965536665</v>
      </c>
      <c r="S24" t="n">
        <v>20.2</v>
      </c>
      <c r="T24" t="n">
        <v>-4.78723404255319</v>
      </c>
      <c r="U24" t="n">
        <v>-37.26635514018692</v>
      </c>
      <c r="V24" t="n">
        <v>59810</v>
      </c>
      <c r="W24" t="n">
        <v>66590</v>
      </c>
      <c r="X24" t="n">
        <v>76433.33333333333</v>
      </c>
      <c r="Y24" t="n">
        <v>0</v>
      </c>
      <c r="Z24" t="n">
        <v>0</v>
      </c>
      <c r="AA24" t="n">
        <v>0</v>
      </c>
      <c r="AB24" t="n">
        <v>34736.15437915723</v>
      </c>
      <c r="AC24" t="n">
        <v>21.4</v>
      </c>
      <c r="AD24" t="n">
        <v>45.6</v>
      </c>
      <c r="AE24" t="n">
        <v>20</v>
      </c>
      <c r="AF24" t="n">
        <v>33.2</v>
      </c>
      <c r="AG24" t="inlineStr">
        <is>
          <t>D</t>
        </is>
      </c>
    </row>
    <row r="25">
      <c r="A25" t="inlineStr">
        <is>
          <t>A309710</t>
        </is>
      </c>
      <c r="B25" t="inlineStr">
        <is>
          <t>아이티켐</t>
        </is>
      </c>
      <c r="C25" t="inlineStr"/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21000</v>
      </c>
      <c r="L25" t="n">
        <v>0</v>
      </c>
      <c r="M25" t="inlineStr"/>
      <c r="N25" t="n">
        <v>0</v>
      </c>
      <c r="O25" t="inlineStr"/>
      <c r="P25" t="n">
        <v>0</v>
      </c>
      <c r="Q25" t="n">
        <v>49.49610565557267</v>
      </c>
      <c r="R25" t="inlineStr"/>
      <c r="S25" t="inlineStr"/>
      <c r="T25" t="n">
        <v>0</v>
      </c>
      <c r="U25" t="n">
        <v>0</v>
      </c>
      <c r="V25" t="n">
        <v>21000</v>
      </c>
      <c r="W25" t="n">
        <v>21000</v>
      </c>
      <c r="X25" t="n">
        <v>24496.66666666667</v>
      </c>
      <c r="Y25" t="n">
        <v>0</v>
      </c>
      <c r="Z25" t="n">
        <v>0</v>
      </c>
      <c r="AA25" t="n">
        <v>0</v>
      </c>
      <c r="AB25" t="n">
        <v>0</v>
      </c>
      <c r="AC25" t="n">
        <v>67.2</v>
      </c>
      <c r="AD25" t="n">
        <v>58</v>
      </c>
      <c r="AE25" t="n">
        <v>50</v>
      </c>
      <c r="AF25" t="n">
        <v>59.2</v>
      </c>
      <c r="AG25" t="inlineStr">
        <is>
          <t>C</t>
        </is>
      </c>
    </row>
    <row r="26">
      <c r="A26" t="inlineStr">
        <is>
          <t>A439260</t>
        </is>
      </c>
      <c r="B26" t="inlineStr">
        <is>
          <t>대한조선</t>
        </is>
      </c>
      <c r="C26" t="inlineStr"/>
      <c r="D26" t="inlineStr"/>
      <c r="E26" t="n">
        <v>-125.9</v>
      </c>
      <c r="F26" t="n">
        <v>-315.7</v>
      </c>
      <c r="G26" t="n">
        <v>-1453.3</v>
      </c>
      <c r="H26" t="n">
        <v>35</v>
      </c>
      <c r="I26" t="n">
        <v>-310.4</v>
      </c>
      <c r="J26" t="n">
        <v>-1086.3</v>
      </c>
      <c r="K26" t="n">
        <v>61400</v>
      </c>
      <c r="L26" t="n">
        <v>90363</v>
      </c>
      <c r="M26" t="n">
        <v>55.482882</v>
      </c>
      <c r="N26" t="n">
        <v>127306.05</v>
      </c>
      <c r="O26" t="n">
        <v>0.709809156752566</v>
      </c>
      <c r="P26" t="n">
        <v>2.586232382179542</v>
      </c>
      <c r="Q26" t="n">
        <v>27.14069837579473</v>
      </c>
      <c r="R26" t="n">
        <v>10.21696916846776</v>
      </c>
      <c r="S26" t="n">
        <v>16.9</v>
      </c>
      <c r="T26" t="n">
        <v>-0.9677419354838679</v>
      </c>
      <c r="U26" t="n">
        <v>-31.39664804469274</v>
      </c>
      <c r="V26" t="n">
        <v>65930</v>
      </c>
      <c r="W26" t="n">
        <v>72220</v>
      </c>
      <c r="X26" t="n">
        <v>85426.66666666667</v>
      </c>
      <c r="Y26" t="n">
        <v>0</v>
      </c>
      <c r="Z26" t="n">
        <v>0</v>
      </c>
      <c r="AA26" t="n">
        <v>0</v>
      </c>
      <c r="AB26" t="n">
        <v>34016.36757735745</v>
      </c>
      <c r="AC26" t="n">
        <v>32.8</v>
      </c>
      <c r="AD26" t="n">
        <v>20.8</v>
      </c>
      <c r="AE26" t="n">
        <v>43</v>
      </c>
      <c r="AF26" t="n">
        <v>28.8</v>
      </c>
      <c r="AG26" t="inlineStr">
        <is>
          <t>F</t>
        </is>
      </c>
    </row>
    <row r="27">
      <c r="A27" t="inlineStr">
        <is>
          <t>A468530</t>
        </is>
      </c>
      <c r="B27" t="inlineStr">
        <is>
          <t>프로티나</t>
        </is>
      </c>
      <c r="C27" t="inlineStr"/>
      <c r="D27" t="inlineStr"/>
      <c r="E27" t="n">
        <v>-71.90000000000001</v>
      </c>
      <c r="F27" t="n">
        <v>-327.2</v>
      </c>
      <c r="G27" t="n">
        <v>-765.6</v>
      </c>
      <c r="H27" t="n">
        <v>148.3</v>
      </c>
      <c r="I27" t="n">
        <v>360.6</v>
      </c>
      <c r="J27" t="n">
        <v>1081.2</v>
      </c>
      <c r="K27" t="n">
        <v>36050</v>
      </c>
      <c r="L27" t="n">
        <v>113764</v>
      </c>
      <c r="M27" t="n">
        <v>41.011922</v>
      </c>
      <c r="N27" t="n">
        <v>82564.35000000001</v>
      </c>
      <c r="O27" t="n">
        <v>1.377882827152397</v>
      </c>
      <c r="P27" t="n">
        <v>4.077125837523495</v>
      </c>
      <c r="Q27" t="n">
        <v>27.39639267702852</v>
      </c>
      <c r="R27" t="n">
        <v>16.85703060594019</v>
      </c>
      <c r="S27" t="n">
        <v>10.5</v>
      </c>
      <c r="T27" t="n">
        <v>-5.006587615283264</v>
      </c>
      <c r="U27" t="n">
        <v>-36.08156028368794</v>
      </c>
      <c r="V27" t="n">
        <v>42195</v>
      </c>
      <c r="W27" t="n">
        <v>46605</v>
      </c>
      <c r="X27" t="n">
        <v>61378.33333333334</v>
      </c>
      <c r="Y27" t="n">
        <v>0</v>
      </c>
      <c r="Z27" t="n">
        <v>0</v>
      </c>
      <c r="AA27" t="n">
        <v>0</v>
      </c>
      <c r="AB27" t="n">
        <v>22028.4887314013</v>
      </c>
      <c r="AC27" t="n">
        <v>16.7</v>
      </c>
      <c r="AD27" t="n">
        <v>51.4</v>
      </c>
      <c r="AE27" t="n">
        <v>84.40000000000001</v>
      </c>
      <c r="AF27" t="n">
        <v>47.6</v>
      </c>
      <c r="AG27" t="inlineStr">
        <is>
          <t>D</t>
        </is>
      </c>
    </row>
    <row r="28">
      <c r="A28" t="inlineStr">
        <is>
          <t>A475230</t>
        </is>
      </c>
      <c r="B28" t="inlineStr">
        <is>
          <t>엔알비</t>
        </is>
      </c>
      <c r="C28" t="inlineStr"/>
      <c r="D28" t="inlineStr"/>
      <c r="E28" t="n">
        <v>4.1</v>
      </c>
      <c r="F28" t="n">
        <v>43.5</v>
      </c>
      <c r="G28" t="n">
        <v>10.3</v>
      </c>
      <c r="H28" t="n">
        <v>76.09999999999999</v>
      </c>
      <c r="I28" t="n">
        <v>-40.7</v>
      </c>
      <c r="J28" t="n">
        <v>402.1</v>
      </c>
      <c r="K28" t="n">
        <v>12310</v>
      </c>
      <c r="L28" t="n">
        <v>120793</v>
      </c>
      <c r="M28" t="n">
        <v>14.8696183</v>
      </c>
      <c r="N28" t="n">
        <v>140768.85</v>
      </c>
      <c r="O28" t="n">
        <v>0.8580946708025248</v>
      </c>
      <c r="P28" t="n">
        <v>4.194015279708947</v>
      </c>
      <c r="Q28" t="n">
        <v>27.62687851265516</v>
      </c>
      <c r="R28" t="n">
        <v>19.74458179786755</v>
      </c>
      <c r="S28" t="n">
        <v>7.9</v>
      </c>
      <c r="T28" t="n">
        <v>-6.742424242424239</v>
      </c>
      <c r="U28" t="n">
        <v>-34.69496021220159</v>
      </c>
      <c r="V28" t="n">
        <v>14145</v>
      </c>
      <c r="W28" t="n">
        <v>15718.5</v>
      </c>
      <c r="X28" t="n">
        <v>19740</v>
      </c>
      <c r="Y28" t="n">
        <v>0</v>
      </c>
      <c r="Z28" t="n">
        <v>0</v>
      </c>
      <c r="AA28" t="n">
        <v>0</v>
      </c>
      <c r="AB28" t="n">
        <v>7798.561540775525</v>
      </c>
      <c r="AC28" t="n">
        <v>15.2</v>
      </c>
      <c r="AD28" t="n">
        <v>77.2</v>
      </c>
      <c r="AE28" t="n">
        <v>59.3</v>
      </c>
      <c r="AF28" t="n">
        <v>55</v>
      </c>
      <c r="AG28" t="inlineStr">
        <is>
          <t>C</t>
        </is>
      </c>
    </row>
    <row r="29">
      <c r="A29" t="inlineStr">
        <is>
          <t>A380550</t>
        </is>
      </c>
      <c r="B29" t="inlineStr">
        <is>
          <t>뉴로핏</t>
        </is>
      </c>
      <c r="C29" t="inlineStr"/>
      <c r="D29" t="inlineStr"/>
      <c r="E29" t="n">
        <v>-5.7</v>
      </c>
      <c r="F29" t="n">
        <v>-3.6</v>
      </c>
      <c r="G29" t="n">
        <v>-72.90000000000001</v>
      </c>
      <c r="H29" t="n">
        <v>78</v>
      </c>
      <c r="I29" t="n">
        <v>127</v>
      </c>
      <c r="J29" t="n">
        <v>124.6</v>
      </c>
      <c r="K29" t="n">
        <v>13240</v>
      </c>
      <c r="L29" t="n">
        <v>155353</v>
      </c>
      <c r="M29" t="n">
        <v>20.5687372</v>
      </c>
      <c r="N29" t="n">
        <v>480317.65</v>
      </c>
      <c r="O29" t="n">
        <v>0.3234380414710973</v>
      </c>
      <c r="P29" t="n">
        <v>4.138682812561881</v>
      </c>
      <c r="Q29" t="n">
        <v>31.52319668183176</v>
      </c>
      <c r="R29" t="n">
        <v>21.62526813848434</v>
      </c>
      <c r="S29" t="n">
        <v>9.9</v>
      </c>
      <c r="T29" t="n">
        <v>-5.428571428571427</v>
      </c>
      <c r="U29" t="n">
        <v>-34.12935323383085</v>
      </c>
      <c r="V29" t="n">
        <v>15741</v>
      </c>
      <c r="W29" t="n">
        <v>17078</v>
      </c>
      <c r="X29" t="n">
        <v>20002.33333333333</v>
      </c>
      <c r="Y29" t="n">
        <v>0</v>
      </c>
      <c r="Z29" t="n">
        <v>0</v>
      </c>
      <c r="AA29" t="n">
        <v>0</v>
      </c>
      <c r="AB29" t="n">
        <v>7349.530310807148</v>
      </c>
      <c r="AC29" t="n">
        <v>21.3</v>
      </c>
      <c r="AD29" t="n">
        <v>60.5</v>
      </c>
      <c r="AE29" t="n">
        <v>9.6</v>
      </c>
      <c r="AF29" t="n">
        <v>38.6</v>
      </c>
      <c r="AG29" t="inlineStr">
        <is>
          <t>D</t>
        </is>
      </c>
    </row>
    <row r="30">
      <c r="A30" t="inlineStr">
        <is>
          <t>A484120</t>
        </is>
      </c>
      <c r="B30" t="inlineStr">
        <is>
          <t>도우인시스</t>
        </is>
      </c>
      <c r="C30" t="inlineStr"/>
      <c r="D30" t="inlineStr"/>
      <c r="E30" t="n">
        <v>-0.1</v>
      </c>
      <c r="F30" t="n">
        <v>-2.6</v>
      </c>
      <c r="G30" t="n">
        <v>-8.1</v>
      </c>
      <c r="H30" t="n">
        <v>-4</v>
      </c>
      <c r="I30" t="n">
        <v>-29.5</v>
      </c>
      <c r="J30" t="n">
        <v>-107.4</v>
      </c>
      <c r="K30" t="n">
        <v>17320</v>
      </c>
      <c r="L30" t="n">
        <v>18400</v>
      </c>
      <c r="M30" t="n">
        <v>3.18688</v>
      </c>
      <c r="N30" t="n">
        <v>28874</v>
      </c>
      <c r="O30" t="n">
        <v>0.6372515065456812</v>
      </c>
      <c r="P30" t="n">
        <v>3.770834167373231</v>
      </c>
      <c r="Q30" t="n">
        <v>36.76998167733137</v>
      </c>
      <c r="R30" t="n">
        <v>17.70161524210099</v>
      </c>
      <c r="S30" t="n">
        <v>19.1</v>
      </c>
      <c r="T30" t="n">
        <v>3.899220155968797</v>
      </c>
      <c r="U30" t="n">
        <v>-25.3448275862069</v>
      </c>
      <c r="V30" t="n">
        <v>18877</v>
      </c>
      <c r="W30" t="n">
        <v>20671</v>
      </c>
      <c r="X30" t="n">
        <v>20659.33333333333</v>
      </c>
      <c r="Y30" t="n">
        <v>0</v>
      </c>
      <c r="Z30" t="n">
        <v>0</v>
      </c>
      <c r="AA30" t="n">
        <v>0</v>
      </c>
      <c r="AB30" t="n">
        <v>8607.471907103674</v>
      </c>
      <c r="AC30" t="n">
        <v>53.9</v>
      </c>
      <c r="AD30" t="n">
        <v>38.9</v>
      </c>
      <c r="AE30" t="n">
        <v>34.8</v>
      </c>
      <c r="AF30" t="n">
        <v>42.6</v>
      </c>
      <c r="AG30" t="inlineStr">
        <is>
          <t>D</t>
        </is>
      </c>
    </row>
    <row r="31">
      <c r="A31" t="inlineStr">
        <is>
          <t>A331740</t>
        </is>
      </c>
      <c r="B31" t="inlineStr">
        <is>
          <t>아우토크립트</t>
        </is>
      </c>
      <c r="C31" t="inlineStr"/>
      <c r="D31" t="inlineStr"/>
      <c r="E31" t="n">
        <v>82</v>
      </c>
      <c r="F31" t="n">
        <v>126.6</v>
      </c>
      <c r="G31" t="n">
        <v>-197.1</v>
      </c>
      <c r="H31" t="n">
        <v>-20.9</v>
      </c>
      <c r="I31" t="n">
        <v>-76.40000000000001</v>
      </c>
      <c r="J31" t="n">
        <v>-117.3</v>
      </c>
      <c r="K31" t="n">
        <v>12150</v>
      </c>
      <c r="L31" t="n">
        <v>110014</v>
      </c>
      <c r="M31" t="n">
        <v>13.366701</v>
      </c>
      <c r="N31" t="n">
        <v>103729.4</v>
      </c>
      <c r="O31" t="n">
        <v>1.06058648753391</v>
      </c>
      <c r="P31" t="n">
        <v>4.866957650513424</v>
      </c>
      <c r="Q31" t="n">
        <v>44.16590499248409</v>
      </c>
      <c r="R31" t="n">
        <v>43.25613013996127</v>
      </c>
      <c r="S31" t="n">
        <v>0.9</v>
      </c>
      <c r="T31" t="n">
        <v>-11.89267585206671</v>
      </c>
      <c r="U31" t="n">
        <v>-20.2755905511811</v>
      </c>
      <c r="V31" t="n">
        <v>12371</v>
      </c>
      <c r="W31" t="n">
        <v>12910.5</v>
      </c>
      <c r="X31" t="n">
        <v>15289.66666666667</v>
      </c>
      <c r="Y31" t="n">
        <v>0</v>
      </c>
      <c r="Z31" t="n">
        <v>0</v>
      </c>
      <c r="AA31" t="n">
        <v>0</v>
      </c>
      <c r="AB31" t="n">
        <v>4214.430847507228</v>
      </c>
      <c r="AC31" t="n">
        <v>35.6</v>
      </c>
      <c r="AD31" t="n">
        <v>48.7</v>
      </c>
      <c r="AE31" t="n">
        <v>72.59999999999999</v>
      </c>
      <c r="AF31" t="n">
        <v>49.6</v>
      </c>
      <c r="AG31" t="inlineStr">
        <is>
          <t>D</t>
        </is>
      </c>
    </row>
    <row r="32">
      <c r="A32" t="inlineStr">
        <is>
          <t>A234030</t>
        </is>
      </c>
      <c r="B32" t="inlineStr">
        <is>
          <t>싸이닉솔루션</t>
        </is>
      </c>
      <c r="C32" t="inlineStr"/>
      <c r="D32" t="inlineStr"/>
      <c r="E32" t="n">
        <v>0</v>
      </c>
      <c r="F32" t="n">
        <v>6.9</v>
      </c>
      <c r="G32" t="n">
        <v>7.6</v>
      </c>
      <c r="H32" t="n">
        <v>9.800000000000001</v>
      </c>
      <c r="I32" t="n">
        <v>37.5</v>
      </c>
      <c r="J32" t="n">
        <v>35.4</v>
      </c>
      <c r="K32" t="n">
        <v>4715</v>
      </c>
      <c r="L32" t="n">
        <v>169215</v>
      </c>
      <c r="M32" t="n">
        <v>7.97848725</v>
      </c>
      <c r="N32" t="n">
        <v>214958.8</v>
      </c>
      <c r="O32" t="n">
        <v>0.7871973606104984</v>
      </c>
      <c r="P32" t="n">
        <v>3.268724309679111</v>
      </c>
      <c r="Q32" t="n">
        <v>28.50367506900523</v>
      </c>
      <c r="R32" t="n">
        <v>27.28541440605411</v>
      </c>
      <c r="S32" t="n">
        <v>1.2</v>
      </c>
      <c r="T32" t="n">
        <v>-3.67722165474974</v>
      </c>
      <c r="U32" t="n">
        <v>-35.14442916093535</v>
      </c>
      <c r="V32" t="n">
        <v>5314</v>
      </c>
      <c r="W32" t="n">
        <v>5977</v>
      </c>
      <c r="X32" t="n">
        <v>6709.333333333333</v>
      </c>
      <c r="Y32" t="n">
        <v>0</v>
      </c>
      <c r="Z32" t="n">
        <v>0</v>
      </c>
      <c r="AA32" t="n">
        <v>0</v>
      </c>
      <c r="AB32" t="n">
        <v>3290.710369637854</v>
      </c>
      <c r="AC32" t="n">
        <v>22.5</v>
      </c>
      <c r="AD32" t="n">
        <v>70</v>
      </c>
      <c r="AE32" t="n">
        <v>54.8</v>
      </c>
      <c r="AF32" t="n">
        <v>52.7</v>
      </c>
      <c r="AG32" t="inlineStr">
        <is>
          <t>C</t>
        </is>
      </c>
    </row>
    <row r="33">
      <c r="A33" t="inlineStr">
        <is>
          <t>A463020</t>
        </is>
      </c>
      <c r="B33" t="inlineStr">
        <is>
          <t>뉴엔AI</t>
        </is>
      </c>
      <c r="C33" t="inlineStr"/>
      <c r="D33" t="inlineStr"/>
      <c r="E33" t="n">
        <v>-7.8</v>
      </c>
      <c r="F33" t="n">
        <v>-9.9</v>
      </c>
      <c r="G33" t="n">
        <v>-27.2</v>
      </c>
      <c r="H33" t="n">
        <v>-11.1</v>
      </c>
      <c r="I33" t="n">
        <v>-17</v>
      </c>
      <c r="J33" t="n">
        <v>-22.3</v>
      </c>
      <c r="K33" t="n">
        <v>8770</v>
      </c>
      <c r="L33" t="n">
        <v>72855</v>
      </c>
      <c r="M33" t="n">
        <v>6.3893835</v>
      </c>
      <c r="N33" t="n">
        <v>111649.95</v>
      </c>
      <c r="O33" t="n">
        <v>0.6525305206137576</v>
      </c>
      <c r="P33" t="n">
        <v>3.889399512740639</v>
      </c>
      <c r="Q33" t="n">
        <v>28.51840924712906</v>
      </c>
      <c r="R33" t="n">
        <v>24.51023506300114</v>
      </c>
      <c r="S33" t="n">
        <v>4</v>
      </c>
      <c r="T33" t="n">
        <v>-2.01117318435754</v>
      </c>
      <c r="U33" t="n">
        <v>-40.42119565217391</v>
      </c>
      <c r="V33" t="n">
        <v>10009</v>
      </c>
      <c r="W33" t="n">
        <v>11547.5</v>
      </c>
      <c r="X33" t="n">
        <v>12719.83333333333</v>
      </c>
      <c r="Y33" t="n">
        <v>0</v>
      </c>
      <c r="Z33" t="n">
        <v>0</v>
      </c>
      <c r="AA33" t="n">
        <v>0</v>
      </c>
      <c r="AB33" t="n">
        <v>7752.724478665881</v>
      </c>
      <c r="AC33" t="n">
        <v>22.9</v>
      </c>
      <c r="AD33" t="n">
        <v>35.5</v>
      </c>
      <c r="AE33" t="n">
        <v>35.6</v>
      </c>
      <c r="AF33" t="n">
        <v>31.7</v>
      </c>
      <c r="AG33" t="inlineStr">
        <is>
          <t>D</t>
        </is>
      </c>
    </row>
    <row r="34">
      <c r="A34" t="inlineStr">
        <is>
          <t>A388610</t>
        </is>
      </c>
      <c r="B34" t="inlineStr">
        <is>
          <t>지에프씨생명과학</t>
        </is>
      </c>
      <c r="C34" t="inlineStr"/>
      <c r="D34" t="inlineStr"/>
      <c r="E34" t="n">
        <v>0</v>
      </c>
      <c r="F34" t="n">
        <v>0</v>
      </c>
      <c r="G34" t="n">
        <v>-19.3</v>
      </c>
      <c r="H34" t="n">
        <v>1.5</v>
      </c>
      <c r="I34" t="n">
        <v>-3.4</v>
      </c>
      <c r="J34" t="n">
        <v>-33.4</v>
      </c>
      <c r="K34" t="n">
        <v>6470</v>
      </c>
      <c r="L34" t="n">
        <v>12403</v>
      </c>
      <c r="M34" t="n">
        <v>0.8024741</v>
      </c>
      <c r="N34" t="n">
        <v>24265.05</v>
      </c>
      <c r="O34" t="n">
        <v>0.5111466904045119</v>
      </c>
      <c r="P34" t="n">
        <v>4.25956147554946</v>
      </c>
      <c r="Q34" t="n">
        <v>24.17560881377667</v>
      </c>
      <c r="R34" t="n">
        <v>14.03881625780701</v>
      </c>
      <c r="S34" t="n">
        <v>10.1</v>
      </c>
      <c r="T34" t="n">
        <v>-2.706766917293235</v>
      </c>
      <c r="U34" t="n">
        <v>-34.2479674796748</v>
      </c>
      <c r="V34" t="n">
        <v>7353</v>
      </c>
      <c r="W34" t="n">
        <v>8192.5</v>
      </c>
      <c r="X34" t="n">
        <v>9347.666666666666</v>
      </c>
      <c r="Y34" t="n">
        <v>0</v>
      </c>
      <c r="Z34" t="n">
        <v>0</v>
      </c>
      <c r="AA34" t="n">
        <v>0</v>
      </c>
      <c r="AB34" t="n">
        <v>4133.2311815334</v>
      </c>
      <c r="AC34" t="n">
        <v>24.2</v>
      </c>
      <c r="AD34" t="n">
        <v>52.8</v>
      </c>
      <c r="AE34" t="n">
        <v>24.4</v>
      </c>
      <c r="AF34" t="n">
        <v>38.5</v>
      </c>
      <c r="AG34" t="inlineStr">
        <is>
          <t>D</t>
        </is>
      </c>
    </row>
    <row r="35">
      <c r="A35" t="inlineStr">
        <is>
          <t>A340450</t>
        </is>
      </c>
      <c r="B35" t="inlineStr">
        <is>
          <t>지씨지놈</t>
        </is>
      </c>
      <c r="C35" t="inlineStr"/>
      <c r="D35" t="inlineStr"/>
      <c r="E35" t="n">
        <v>-15.8</v>
      </c>
      <c r="F35" t="n">
        <v>-6.4</v>
      </c>
      <c r="G35" t="n">
        <v>-48</v>
      </c>
      <c r="H35" t="n">
        <v>27.6</v>
      </c>
      <c r="I35" t="n">
        <v>-82.3</v>
      </c>
      <c r="J35" t="n">
        <v>-320.6</v>
      </c>
      <c r="K35" t="n">
        <v>5580</v>
      </c>
      <c r="L35" t="n">
        <v>184229</v>
      </c>
      <c r="M35" t="n">
        <v>10.2799782</v>
      </c>
      <c r="N35" t="n">
        <v>237054.3</v>
      </c>
      <c r="O35" t="n">
        <v>0.7771594946811765</v>
      </c>
      <c r="P35" t="n">
        <v>3.20643544170147</v>
      </c>
      <c r="Q35" t="n">
        <v>28.68769612657524</v>
      </c>
      <c r="R35" t="n">
        <v>10.62297799201048</v>
      </c>
      <c r="S35" t="n">
        <v>18.1</v>
      </c>
      <c r="T35" t="n">
        <v>-2.276707530647981</v>
      </c>
      <c r="U35" t="n">
        <v>-34.12042502951594</v>
      </c>
      <c r="V35" t="n">
        <v>6491</v>
      </c>
      <c r="W35" t="n">
        <v>6912</v>
      </c>
      <c r="X35" t="n">
        <v>7464.666666666667</v>
      </c>
      <c r="Y35" t="n">
        <v>0</v>
      </c>
      <c r="Z35" t="n">
        <v>0</v>
      </c>
      <c r="AA35" t="n">
        <v>0</v>
      </c>
      <c r="AB35" t="n">
        <v>2566.623011704392</v>
      </c>
      <c r="AC35" t="n">
        <v>29.2</v>
      </c>
      <c r="AD35" t="n">
        <v>37</v>
      </c>
      <c r="AE35" t="n">
        <v>53.3</v>
      </c>
      <c r="AF35" t="n">
        <v>37.9</v>
      </c>
      <c r="AG35" t="inlineStr">
        <is>
          <t>D</t>
        </is>
      </c>
    </row>
    <row r="36">
      <c r="A36" t="inlineStr">
        <is>
          <t>A474650</t>
        </is>
      </c>
      <c r="B36" t="inlineStr">
        <is>
          <t>링크솔루션</t>
        </is>
      </c>
      <c r="C36" t="inlineStr"/>
      <c r="D36" t="inlineStr"/>
      <c r="E36" t="n">
        <v>58.9</v>
      </c>
      <c r="F36" t="n">
        <v>49.5</v>
      </c>
      <c r="G36" t="n">
        <v>-19.8</v>
      </c>
      <c r="H36" t="n">
        <v>18.3</v>
      </c>
      <c r="I36" t="n">
        <v>96.59999999999999</v>
      </c>
      <c r="J36" t="n">
        <v>-143.9</v>
      </c>
      <c r="K36" t="n">
        <v>43700</v>
      </c>
      <c r="L36" t="n">
        <v>75558</v>
      </c>
      <c r="M36" t="n">
        <v>33.018846</v>
      </c>
      <c r="N36" t="n">
        <v>102714.1</v>
      </c>
      <c r="O36" t="n">
        <v>0.7356146819180618</v>
      </c>
      <c r="P36" t="n">
        <v>3.536280362413534</v>
      </c>
      <c r="Q36" t="n">
        <v>32.00258740769547</v>
      </c>
      <c r="R36" t="n">
        <v>20.29054414933965</v>
      </c>
      <c r="S36" t="n">
        <v>11.7</v>
      </c>
      <c r="T36" t="n">
        <v>-7.021276595744686</v>
      </c>
      <c r="U36" t="n">
        <v>-26.43097643097643</v>
      </c>
      <c r="V36" t="n">
        <v>48865</v>
      </c>
      <c r="W36" t="n">
        <v>52682.5</v>
      </c>
      <c r="X36" t="n">
        <v>58832.5</v>
      </c>
      <c r="Y36" t="n">
        <v>0</v>
      </c>
      <c r="Z36" t="n">
        <v>0</v>
      </c>
      <c r="AA36" t="n">
        <v>0</v>
      </c>
      <c r="AB36" t="n">
        <v>18486.55556998415</v>
      </c>
      <c r="AC36" t="n">
        <v>24.2</v>
      </c>
      <c r="AD36" t="n">
        <v>71.59999999999999</v>
      </c>
      <c r="AE36" t="n">
        <v>46.7</v>
      </c>
      <c r="AF36" t="n">
        <v>52.4</v>
      </c>
      <c r="AG36" t="inlineStr">
        <is>
          <t>C</t>
        </is>
      </c>
    </row>
    <row r="37">
      <c r="A37" t="inlineStr">
        <is>
          <t>A475430</t>
        </is>
      </c>
      <c r="B37" t="inlineStr">
        <is>
          <t>키스트론</t>
        </is>
      </c>
      <c r="C37" t="inlineStr"/>
      <c r="D37" t="inlineStr"/>
      <c r="E37" t="n">
        <v>0</v>
      </c>
      <c r="F37" t="n">
        <v>-0.6</v>
      </c>
      <c r="G37" t="n">
        <v>-21.2</v>
      </c>
      <c r="H37" t="n">
        <v>8.1</v>
      </c>
      <c r="I37" t="n">
        <v>2.4</v>
      </c>
      <c r="J37" t="n">
        <v>70.09999999999999</v>
      </c>
      <c r="K37" t="n">
        <v>4715</v>
      </c>
      <c r="L37" t="n">
        <v>351864</v>
      </c>
      <c r="M37" t="n">
        <v>16.5903876</v>
      </c>
      <c r="N37" t="n">
        <v>1777450.3</v>
      </c>
      <c r="O37" t="n">
        <v>0.197959965462888</v>
      </c>
      <c r="P37" t="n">
        <v>7.527746629191251</v>
      </c>
      <c r="Q37" t="n">
        <v>44.1980350705775</v>
      </c>
      <c r="R37" t="n">
        <v>21.32799494869206</v>
      </c>
      <c r="S37" t="n">
        <v>22.9</v>
      </c>
      <c r="T37" t="n">
        <v>-4.166666666666663</v>
      </c>
      <c r="U37" t="n">
        <v>-19.53924914675768</v>
      </c>
      <c r="V37" t="n">
        <v>5108</v>
      </c>
      <c r="W37" t="n">
        <v>5408</v>
      </c>
      <c r="X37" t="n">
        <v>4810.5</v>
      </c>
      <c r="Y37" t="n">
        <v>0</v>
      </c>
      <c r="Z37" t="n">
        <v>0</v>
      </c>
      <c r="AA37" t="n">
        <v>0</v>
      </c>
      <c r="AB37" t="n">
        <v>2601.630258126628</v>
      </c>
      <c r="AC37" t="n">
        <v>47.7</v>
      </c>
      <c r="AD37" t="n">
        <v>57.9</v>
      </c>
      <c r="AE37" t="n">
        <v>2.2</v>
      </c>
      <c r="AF37" t="n">
        <v>43.7</v>
      </c>
      <c r="AG37" t="inlineStr">
        <is>
          <t>D</t>
        </is>
      </c>
    </row>
    <row r="38">
      <c r="A38" t="inlineStr">
        <is>
          <t>A287840</t>
        </is>
      </c>
      <c r="B38" t="inlineStr">
        <is>
          <t>인투셀</t>
        </is>
      </c>
      <c r="C38" t="inlineStr"/>
      <c r="D38" t="inlineStr"/>
      <c r="E38" t="n">
        <v>26.1</v>
      </c>
      <c r="F38" t="n">
        <v>67</v>
      </c>
      <c r="G38" t="n">
        <v>299.4</v>
      </c>
      <c r="H38" t="n">
        <v>102.5</v>
      </c>
      <c r="I38" t="n">
        <v>144.7</v>
      </c>
      <c r="J38" t="n">
        <v>396.6</v>
      </c>
      <c r="K38" t="n">
        <v>26800</v>
      </c>
      <c r="L38" t="n">
        <v>98328</v>
      </c>
      <c r="M38" t="n">
        <v>26.351904</v>
      </c>
      <c r="N38" t="n">
        <v>87189.3</v>
      </c>
      <c r="O38" t="n">
        <v>1.127753061442172</v>
      </c>
      <c r="P38" t="n">
        <v>3.025089949473131</v>
      </c>
      <c r="Q38" t="n">
        <v>29.58856967899223</v>
      </c>
      <c r="R38" t="n">
        <v>12.8187691182024</v>
      </c>
      <c r="S38" t="n">
        <v>16.8</v>
      </c>
      <c r="T38" t="n">
        <v>0.9416195856873921</v>
      </c>
      <c r="U38" t="n">
        <v>-27.86002691790041</v>
      </c>
      <c r="V38" t="n">
        <v>29300</v>
      </c>
      <c r="W38" t="n">
        <v>31385</v>
      </c>
      <c r="X38" t="n">
        <v>38841.66666666666</v>
      </c>
      <c r="Y38" t="n">
        <v>0</v>
      </c>
      <c r="Z38" t="n">
        <v>0</v>
      </c>
      <c r="AA38" t="n">
        <v>0</v>
      </c>
      <c r="AB38" t="n">
        <v>10710.36880784225</v>
      </c>
      <c r="AC38" t="n">
        <v>41.6</v>
      </c>
      <c r="AD38" t="n">
        <v>89.8</v>
      </c>
      <c r="AE38" t="n">
        <v>75.59999999999999</v>
      </c>
      <c r="AF38" t="n">
        <v>72.5</v>
      </c>
      <c r="AG38" t="inlineStr">
        <is>
          <t>B</t>
        </is>
      </c>
    </row>
    <row r="39">
      <c r="A39" t="inlineStr">
        <is>
          <t>A483650</t>
        </is>
      </c>
      <c r="B39" t="inlineStr">
        <is>
          <t>달바글로벌</t>
        </is>
      </c>
      <c r="C39" t="inlineStr"/>
      <c r="D39" t="inlineStr"/>
      <c r="E39" t="n">
        <v>97</v>
      </c>
      <c r="F39" t="n">
        <v>-3638.8</v>
      </c>
      <c r="G39" t="n">
        <v>-2078.2</v>
      </c>
      <c r="H39" t="n">
        <v>411.8</v>
      </c>
      <c r="I39" t="n">
        <v>5893</v>
      </c>
      <c r="J39" t="n">
        <v>12428.3</v>
      </c>
      <c r="K39" t="n">
        <v>187400</v>
      </c>
      <c r="L39" t="n">
        <v>296701</v>
      </c>
      <c r="M39" t="n">
        <v>556.0176740000001</v>
      </c>
      <c r="N39" t="n">
        <v>246465.4</v>
      </c>
      <c r="O39" t="n">
        <v>1.203824147324533</v>
      </c>
      <c r="P39" t="n">
        <v>4.64044855162423</v>
      </c>
      <c r="Q39" t="n">
        <v>39.2682282408429</v>
      </c>
      <c r="R39" t="n">
        <v>29.65963124091405</v>
      </c>
      <c r="S39" t="n">
        <v>9.6</v>
      </c>
      <c r="T39" t="n">
        <v>-7.456790123456791</v>
      </c>
      <c r="U39" t="n">
        <v>-17.07964601769912</v>
      </c>
      <c r="V39" t="n">
        <v>207390</v>
      </c>
      <c r="W39" t="n">
        <v>219145</v>
      </c>
      <c r="X39" t="n">
        <v>188858.3333333333</v>
      </c>
      <c r="Y39" t="n">
        <v>0</v>
      </c>
      <c r="Z39" t="n">
        <v>0</v>
      </c>
      <c r="AA39" t="n">
        <v>0</v>
      </c>
      <c r="AB39" t="n">
        <v>72375.56726438907</v>
      </c>
      <c r="AC39" t="n">
        <v>38.5</v>
      </c>
      <c r="AD39" t="n">
        <v>68.8</v>
      </c>
      <c r="AE39" t="n">
        <v>80</v>
      </c>
      <c r="AF39" t="n">
        <v>62</v>
      </c>
      <c r="AG39" t="inlineStr">
        <is>
          <t>C</t>
        </is>
      </c>
    </row>
    <row r="40">
      <c r="A40" t="inlineStr">
        <is>
          <t>A489460</t>
        </is>
      </c>
      <c r="B40" t="inlineStr">
        <is>
          <t>바이오비쥬</t>
        </is>
      </c>
      <c r="C40" t="inlineStr"/>
      <c r="D40" t="inlineStr"/>
      <c r="E40" t="n">
        <v>-1.4</v>
      </c>
      <c r="F40" t="n">
        <v>-1.3</v>
      </c>
      <c r="G40" t="n">
        <v>-6.2</v>
      </c>
      <c r="H40" t="n">
        <v>21.6</v>
      </c>
      <c r="I40" t="n">
        <v>26.4</v>
      </c>
      <c r="J40" t="n">
        <v>18.7</v>
      </c>
      <c r="K40" t="n">
        <v>6730</v>
      </c>
      <c r="L40" t="n">
        <v>94993</v>
      </c>
      <c r="M40" t="n">
        <v>6.3930289</v>
      </c>
      <c r="N40" t="n">
        <v>83545.10000000001</v>
      </c>
      <c r="O40" t="n">
        <v>1.137026588034487</v>
      </c>
      <c r="P40" t="n">
        <v>3.47489313818501</v>
      </c>
      <c r="Q40" t="n">
        <v>44.49461901655531</v>
      </c>
      <c r="R40" t="n">
        <v>31.0699749508123</v>
      </c>
      <c r="S40" t="n">
        <v>13.4</v>
      </c>
      <c r="T40" t="n">
        <v>-3.443328550932567</v>
      </c>
      <c r="U40" t="n">
        <v>-19.59378733572282</v>
      </c>
      <c r="V40" t="n">
        <v>6579</v>
      </c>
      <c r="W40" t="n">
        <v>6937</v>
      </c>
      <c r="X40" t="n">
        <v>8096.666666666667</v>
      </c>
      <c r="Y40" t="n">
        <v>1</v>
      </c>
      <c r="Z40" t="n">
        <v>0</v>
      </c>
      <c r="AA40" t="n">
        <v>0</v>
      </c>
      <c r="AB40" t="n">
        <v>2263.154761319711</v>
      </c>
      <c r="AC40" t="n">
        <v>69.59999999999999</v>
      </c>
      <c r="AD40" t="n">
        <v>58.6</v>
      </c>
      <c r="AE40" t="n">
        <v>76.3</v>
      </c>
      <c r="AF40" t="n">
        <v>65.40000000000001</v>
      </c>
      <c r="AG40" t="inlineStr">
        <is>
          <t>B</t>
        </is>
      </c>
    </row>
    <row r="41">
      <c r="A41" t="inlineStr">
        <is>
          <t>A424870</t>
        </is>
      </c>
      <c r="B41" t="inlineStr">
        <is>
          <t>이뮨온시아</t>
        </is>
      </c>
      <c r="C41" t="inlineStr"/>
      <c r="D41" t="inlineStr"/>
      <c r="E41" t="n">
        <v>1.9</v>
      </c>
      <c r="F41" t="n">
        <v>-108.2</v>
      </c>
      <c r="G41" t="n">
        <v>-459.6</v>
      </c>
      <c r="H41" t="n">
        <v>-2.7</v>
      </c>
      <c r="I41" t="n">
        <v>-275.6</v>
      </c>
      <c r="J41" t="n">
        <v>-7.3</v>
      </c>
      <c r="K41" t="n">
        <v>5250</v>
      </c>
      <c r="L41" t="n">
        <v>426657</v>
      </c>
      <c r="M41" t="n">
        <v>22.3994925</v>
      </c>
      <c r="N41" t="n">
        <v>427096.2</v>
      </c>
      <c r="O41" t="n">
        <v>0.9989716602489088</v>
      </c>
      <c r="P41" t="n">
        <v>4.332978296806986</v>
      </c>
      <c r="Q41" t="n">
        <v>37.70911295995477</v>
      </c>
      <c r="R41" t="n">
        <v>31.2138274045713</v>
      </c>
      <c r="S41" t="n">
        <v>6.5</v>
      </c>
      <c r="T41" t="n">
        <v>-7.732864674868189</v>
      </c>
      <c r="U41" t="n">
        <v>-24.89270386266094</v>
      </c>
      <c r="V41" t="n">
        <v>5805</v>
      </c>
      <c r="W41" t="n">
        <v>6004</v>
      </c>
      <c r="X41" t="n">
        <v>7147.383333333333</v>
      </c>
      <c r="Y41" t="n">
        <v>0</v>
      </c>
      <c r="Z41" t="n">
        <v>0</v>
      </c>
      <c r="AA41" t="n">
        <v>0</v>
      </c>
      <c r="AB41" t="n">
        <v>2022.95875026242</v>
      </c>
      <c r="AC41" t="n">
        <v>30.2</v>
      </c>
      <c r="AD41" t="n">
        <v>35.9</v>
      </c>
      <c r="AE41" t="n">
        <v>67.40000000000001</v>
      </c>
      <c r="AF41" t="n">
        <v>40.5</v>
      </c>
      <c r="AG41" t="inlineStr">
        <is>
          <t>D</t>
        </is>
      </c>
    </row>
    <row r="42">
      <c r="A42" t="inlineStr">
        <is>
          <t>A376900</t>
        </is>
      </c>
      <c r="B42" t="inlineStr">
        <is>
          <t>로킷헬스케어</t>
        </is>
      </c>
      <c r="C42" t="inlineStr"/>
      <c r="D42" t="inlineStr"/>
      <c r="E42" t="n">
        <v>-19.4</v>
      </c>
      <c r="F42" t="n">
        <v>85.7</v>
      </c>
      <c r="G42" t="n">
        <v>-213.6</v>
      </c>
      <c r="H42" t="n">
        <v>-53.3</v>
      </c>
      <c r="I42" t="n">
        <v>-723.8</v>
      </c>
      <c r="J42" t="n">
        <v>457.5</v>
      </c>
      <c r="K42" t="n">
        <v>54200</v>
      </c>
      <c r="L42" t="n">
        <v>167033</v>
      </c>
      <c r="M42" t="n">
        <v>90.531886</v>
      </c>
      <c r="N42" t="n">
        <v>272982.7</v>
      </c>
      <c r="O42" t="n">
        <v>0.6118812657358873</v>
      </c>
      <c r="P42" t="n">
        <v>6.236349096809802</v>
      </c>
      <c r="Q42" t="n">
        <v>37.25891051104213</v>
      </c>
      <c r="R42" t="n">
        <v>60.86614543582785</v>
      </c>
      <c r="S42" t="n">
        <v>-23.6</v>
      </c>
      <c r="T42" t="n">
        <v>-8.754208754208758</v>
      </c>
      <c r="U42" t="n">
        <v>-29.15032679738562</v>
      </c>
      <c r="V42" t="n">
        <v>56690</v>
      </c>
      <c r="W42" t="n">
        <v>63485</v>
      </c>
      <c r="X42" t="n">
        <v>91180</v>
      </c>
      <c r="Y42" t="n">
        <v>0</v>
      </c>
      <c r="Z42" t="n">
        <v>0</v>
      </c>
      <c r="AA42" t="n">
        <v>0</v>
      </c>
      <c r="AB42" t="n">
        <v>31941.86166014418</v>
      </c>
      <c r="AC42" t="n">
        <v>24.7</v>
      </c>
      <c r="AD42" t="n">
        <v>37.3</v>
      </c>
      <c r="AE42" t="n">
        <v>33.3</v>
      </c>
      <c r="AF42" t="n">
        <v>32.7</v>
      </c>
      <c r="AG42" t="inlineStr">
        <is>
          <t>D</t>
        </is>
      </c>
    </row>
    <row r="43">
      <c r="A43" t="inlineStr">
        <is>
          <t>A476040</t>
        </is>
      </c>
      <c r="B43" t="inlineStr">
        <is>
          <t>오가노이드사이언스</t>
        </is>
      </c>
      <c r="C43" t="inlineStr"/>
      <c r="D43" t="inlineStr"/>
      <c r="E43" t="n">
        <v>-2</v>
      </c>
      <c r="F43" t="n">
        <v>-9.699999999999999</v>
      </c>
      <c r="G43" t="n">
        <v>-54.4</v>
      </c>
      <c r="H43" t="n">
        <v>52.1</v>
      </c>
      <c r="I43" t="n">
        <v>77.40000000000001</v>
      </c>
      <c r="J43" t="n">
        <v>238.4</v>
      </c>
      <c r="K43" t="n">
        <v>13790</v>
      </c>
      <c r="L43" t="n">
        <v>69711</v>
      </c>
      <c r="M43" t="n">
        <v>9.6131469</v>
      </c>
      <c r="N43" t="n">
        <v>70906</v>
      </c>
      <c r="O43" t="n">
        <v>0.9831467012664654</v>
      </c>
      <c r="P43" t="n">
        <v>3.000203483982683</v>
      </c>
      <c r="Q43" t="n">
        <v>25.69203233821995</v>
      </c>
      <c r="R43" t="n">
        <v>9.744974835162088</v>
      </c>
      <c r="S43" t="n">
        <v>15.9</v>
      </c>
      <c r="T43" t="n">
        <v>-1.640513552068479</v>
      </c>
      <c r="U43" t="n">
        <v>-38.4375</v>
      </c>
      <c r="V43" t="n">
        <v>15751</v>
      </c>
      <c r="W43" t="n">
        <v>17455.5</v>
      </c>
      <c r="X43" t="n">
        <v>22070.16666666667</v>
      </c>
      <c r="Y43" t="n">
        <v>0</v>
      </c>
      <c r="Z43" t="n">
        <v>0</v>
      </c>
      <c r="AA43" t="n">
        <v>0</v>
      </c>
      <c r="AB43" t="n">
        <v>8965.125178918817</v>
      </c>
      <c r="AC43" t="n">
        <v>23.1</v>
      </c>
      <c r="AD43" t="n">
        <v>59.4</v>
      </c>
      <c r="AE43" t="n">
        <v>66.7</v>
      </c>
      <c r="AF43" t="n">
        <v>50</v>
      </c>
      <c r="AG43" t="inlineStr">
        <is>
          <t>C</t>
        </is>
      </c>
    </row>
    <row r="44">
      <c r="A44" t="inlineStr">
        <is>
          <t>A136150</t>
        </is>
      </c>
      <c r="B44" t="inlineStr">
        <is>
          <t>원일티엔아이</t>
        </is>
      </c>
      <c r="C44" t="inlineStr"/>
      <c r="D44" t="inlineStr"/>
      <c r="E44" t="n">
        <v>-1.6</v>
      </c>
      <c r="F44" t="n">
        <v>-5.4</v>
      </c>
      <c r="G44" t="n">
        <v>-22.8</v>
      </c>
      <c r="H44" t="n">
        <v>5.5</v>
      </c>
      <c r="I44" t="n">
        <v>-45</v>
      </c>
      <c r="J44" t="n">
        <v>-89.90000000000001</v>
      </c>
      <c r="K44" t="n">
        <v>11440</v>
      </c>
      <c r="L44" t="n">
        <v>48532</v>
      </c>
      <c r="M44" t="n">
        <v>5.5520608</v>
      </c>
      <c r="N44" t="n">
        <v>55076.85</v>
      </c>
      <c r="O44" t="n">
        <v>0.8811687669138667</v>
      </c>
      <c r="P44" t="n">
        <v>3.735131613321034</v>
      </c>
      <c r="Q44" t="n">
        <v>28.14759815471488</v>
      </c>
      <c r="R44" t="n">
        <v>44.03419476335444</v>
      </c>
      <c r="S44" t="n">
        <v>-15.9</v>
      </c>
      <c r="T44" t="n">
        <v>-5.298013245033117</v>
      </c>
      <c r="U44" t="n">
        <v>-37.6566757493188</v>
      </c>
      <c r="V44" t="n">
        <v>13325</v>
      </c>
      <c r="W44" t="n">
        <v>14971.5</v>
      </c>
      <c r="X44" t="n">
        <v>16508.83333333333</v>
      </c>
      <c r="Y44" t="n">
        <v>0</v>
      </c>
      <c r="Z44" t="n">
        <v>0</v>
      </c>
      <c r="AA44" t="n">
        <v>0</v>
      </c>
      <c r="AB44" t="n">
        <v>8596.070338425452</v>
      </c>
      <c r="AC44" t="n">
        <v>15.2</v>
      </c>
      <c r="AD44" t="n">
        <v>40.2</v>
      </c>
      <c r="AE44" t="n">
        <v>61.5</v>
      </c>
      <c r="AF44" t="n">
        <v>37</v>
      </c>
      <c r="AG44" t="inlineStr">
        <is>
          <t>D</t>
        </is>
      </c>
    </row>
    <row r="45">
      <c r="A45" t="inlineStr">
        <is>
          <t>A459510</t>
        </is>
      </c>
      <c r="B45" t="inlineStr">
        <is>
          <t>나우로보틱스</t>
        </is>
      </c>
      <c r="C45" t="inlineStr"/>
      <c r="D45" t="inlineStr"/>
      <c r="E45" t="n">
        <v>-19.2</v>
      </c>
      <c r="F45" t="n">
        <v>-57</v>
      </c>
      <c r="G45" t="n">
        <v>-115.8</v>
      </c>
      <c r="H45" t="n">
        <v>-0.4</v>
      </c>
      <c r="I45" t="n">
        <v>-83.40000000000001</v>
      </c>
      <c r="J45" t="n">
        <v>252.3</v>
      </c>
      <c r="K45" t="n">
        <v>22000</v>
      </c>
      <c r="L45" t="n">
        <v>117574</v>
      </c>
      <c r="M45" t="n">
        <v>25.86628</v>
      </c>
      <c r="N45" t="n">
        <v>443650.5</v>
      </c>
      <c r="O45" t="n">
        <v>0.2650149160206063</v>
      </c>
      <c r="P45" t="n">
        <v>7.163692991544718</v>
      </c>
      <c r="Q45" t="n">
        <v>40.91127133462494</v>
      </c>
      <c r="R45" t="n">
        <v>15.10846360297677</v>
      </c>
      <c r="S45" t="n">
        <v>25.8</v>
      </c>
      <c r="T45" t="n">
        <v>2.088167053364276</v>
      </c>
      <c r="U45" t="n">
        <v>-27.98690671031096</v>
      </c>
      <c r="V45" t="n">
        <v>24245</v>
      </c>
      <c r="W45" t="n">
        <v>26635</v>
      </c>
      <c r="X45" t="n">
        <v>23503.83333333333</v>
      </c>
      <c r="Y45" t="n">
        <v>0</v>
      </c>
      <c r="Z45" t="n">
        <v>0</v>
      </c>
      <c r="AA45" t="n">
        <v>0</v>
      </c>
      <c r="AB45" t="n">
        <v>12043.97206729968</v>
      </c>
      <c r="AC45" t="n">
        <v>53.6</v>
      </c>
      <c r="AD45" t="n">
        <v>35.1</v>
      </c>
      <c r="AE45" t="n">
        <v>5.2</v>
      </c>
      <c r="AF45" t="n">
        <v>34.7</v>
      </c>
      <c r="AG45" t="inlineStr">
        <is>
          <t>D</t>
        </is>
      </c>
    </row>
    <row r="46">
      <c r="A46" t="inlineStr">
        <is>
          <t>A081180</t>
        </is>
      </c>
      <c r="B46" t="inlineStr">
        <is>
          <t>쎄크</t>
        </is>
      </c>
      <c r="C46" t="inlineStr"/>
      <c r="D46" t="inlineStr"/>
      <c r="E46" t="n">
        <v>-6.7</v>
      </c>
      <c r="F46" t="n">
        <v>-31.9</v>
      </c>
      <c r="G46" t="n">
        <v>-219.8</v>
      </c>
      <c r="H46" t="n">
        <v>10</v>
      </c>
      <c r="I46" t="n">
        <v>-63.5</v>
      </c>
      <c r="J46" t="n">
        <v>-0.8</v>
      </c>
      <c r="K46" t="n">
        <v>8270</v>
      </c>
      <c r="L46" t="n">
        <v>187001</v>
      </c>
      <c r="M46" t="n">
        <v>15.4649827</v>
      </c>
      <c r="N46" t="n">
        <v>337174.6</v>
      </c>
      <c r="O46" t="n">
        <v>0.5546117649431482</v>
      </c>
      <c r="P46" t="n">
        <v>5.382120326320472</v>
      </c>
      <c r="Q46" t="n">
        <v>32.07039848323138</v>
      </c>
      <c r="R46" t="n">
        <v>51.11709075830056</v>
      </c>
      <c r="S46" t="n">
        <v>-19</v>
      </c>
      <c r="T46" t="n">
        <v>-6.764374295377673</v>
      </c>
      <c r="U46" t="n">
        <v>-39.23585598824394</v>
      </c>
      <c r="V46" t="n">
        <v>9895</v>
      </c>
      <c r="W46" t="n">
        <v>10984.5</v>
      </c>
      <c r="X46" t="n">
        <v>12102.5</v>
      </c>
      <c r="Y46" t="n">
        <v>0</v>
      </c>
      <c r="Z46" t="n">
        <v>0</v>
      </c>
      <c r="AA46" t="n">
        <v>0</v>
      </c>
      <c r="AB46" t="n">
        <v>6796.289699844365</v>
      </c>
      <c r="AC46" t="n">
        <v>13.2</v>
      </c>
      <c r="AD46" t="n">
        <v>38.9</v>
      </c>
      <c r="AE46" t="n">
        <v>28.9</v>
      </c>
      <c r="AF46" t="n">
        <v>29.2</v>
      </c>
      <c r="AG46" t="inlineStr">
        <is>
          <t>F</t>
        </is>
      </c>
    </row>
    <row r="47">
      <c r="A47" t="inlineStr">
        <is>
          <t>A448900</t>
        </is>
      </c>
      <c r="B47" t="inlineStr">
        <is>
          <t>한국피아이엠</t>
        </is>
      </c>
      <c r="C47" t="inlineStr"/>
      <c r="D47" t="inlineStr"/>
      <c r="E47" t="n">
        <v>378.7</v>
      </c>
      <c r="F47" t="n">
        <v>1843.5</v>
      </c>
      <c r="G47" t="n">
        <v>1689.1</v>
      </c>
      <c r="H47" t="n">
        <v>-382.5</v>
      </c>
      <c r="I47" t="n">
        <v>-262.9</v>
      </c>
      <c r="J47" t="n">
        <v>409.8</v>
      </c>
      <c r="K47" t="n">
        <v>95500</v>
      </c>
      <c r="L47" t="n">
        <v>125004</v>
      </c>
      <c r="M47" t="n">
        <v>119.37882</v>
      </c>
      <c r="N47" t="n">
        <v>275973.6</v>
      </c>
      <c r="O47" t="n">
        <v>0.4529563697397143</v>
      </c>
      <c r="P47" t="n">
        <v>8.839721519164716</v>
      </c>
      <c r="Q47" t="n">
        <v>47.53048756368913</v>
      </c>
      <c r="R47" t="n">
        <v>25.91537283314345</v>
      </c>
      <c r="S47" t="n">
        <v>21.6</v>
      </c>
      <c r="T47" t="n">
        <v>1.703940362087319</v>
      </c>
      <c r="U47" t="n">
        <v>-11.32776230269267</v>
      </c>
      <c r="V47" t="n">
        <v>96880</v>
      </c>
      <c r="W47" t="n">
        <v>107990</v>
      </c>
      <c r="X47" t="n">
        <v>108460</v>
      </c>
      <c r="Y47" t="n">
        <v>0</v>
      </c>
      <c r="Z47" t="n">
        <v>0</v>
      </c>
      <c r="AA47" t="n">
        <v>0</v>
      </c>
      <c r="AB47" t="n">
        <v>61412.68855692184</v>
      </c>
      <c r="AC47" t="n">
        <v>67.59999999999999</v>
      </c>
      <c r="AD47" t="n">
        <v>62.7</v>
      </c>
      <c r="AE47" t="n">
        <v>17.8</v>
      </c>
      <c r="AF47" t="n">
        <v>55.2</v>
      </c>
      <c r="AG47" t="inlineStr">
        <is>
          <t>C</t>
        </is>
      </c>
    </row>
    <row r="48">
      <c r="A48" t="inlineStr">
        <is>
          <t>A481070</t>
        </is>
      </c>
      <c r="B48" t="inlineStr">
        <is>
          <t>에이유브랜즈</t>
        </is>
      </c>
      <c r="C48" t="inlineStr"/>
      <c r="D48" t="inlineStr"/>
      <c r="E48" t="n">
        <v>-38.5</v>
      </c>
      <c r="F48" t="n">
        <v>-85.8</v>
      </c>
      <c r="G48" t="n">
        <v>-186.8</v>
      </c>
      <c r="H48" t="n">
        <v>10</v>
      </c>
      <c r="I48" t="n">
        <v>23.4</v>
      </c>
      <c r="J48" t="n">
        <v>-19.8</v>
      </c>
      <c r="K48" t="n">
        <v>12610</v>
      </c>
      <c r="L48" t="n">
        <v>38928</v>
      </c>
      <c r="M48" t="n">
        <v>4.9088208</v>
      </c>
      <c r="N48" t="n">
        <v>30163.85</v>
      </c>
      <c r="O48" t="n">
        <v>1.29055143822821</v>
      </c>
      <c r="P48" t="n">
        <v>2.825716237005107</v>
      </c>
      <c r="Q48" t="n">
        <v>24.52102133678384</v>
      </c>
      <c r="R48" t="n">
        <v>12.19898333309425</v>
      </c>
      <c r="S48" t="n">
        <v>12.3</v>
      </c>
      <c r="T48" t="n">
        <v>-6.661732050333091</v>
      </c>
      <c r="U48" t="n">
        <v>-31.69014084507042</v>
      </c>
      <c r="V48" t="n">
        <v>14485</v>
      </c>
      <c r="W48" t="n">
        <v>15849</v>
      </c>
      <c r="X48" t="n">
        <v>17205.83333333333</v>
      </c>
      <c r="Y48" t="n">
        <v>0</v>
      </c>
      <c r="Z48" t="n">
        <v>0</v>
      </c>
      <c r="AA48" t="n">
        <v>0</v>
      </c>
      <c r="AB48" t="n">
        <v>6336.020999433596</v>
      </c>
      <c r="AC48" t="n">
        <v>15.8</v>
      </c>
      <c r="AD48" t="n">
        <v>43.2</v>
      </c>
      <c r="AE48" t="n">
        <v>83.7</v>
      </c>
      <c r="AF48" t="n">
        <v>43.1</v>
      </c>
      <c r="AG48" t="inlineStr">
        <is>
          <t>D</t>
        </is>
      </c>
    </row>
    <row r="49">
      <c r="A49" t="inlineStr">
        <is>
          <t>A462860</t>
        </is>
      </c>
      <c r="B49" t="inlineStr">
        <is>
          <t>더즌</t>
        </is>
      </c>
      <c r="C49" t="inlineStr"/>
      <c r="D49" t="inlineStr"/>
      <c r="E49" t="n">
        <v>0</v>
      </c>
      <c r="F49" t="n">
        <v>0</v>
      </c>
      <c r="G49" t="n">
        <v>-2.7</v>
      </c>
      <c r="H49" t="n">
        <v>8.699999999999999</v>
      </c>
      <c r="I49" t="n">
        <v>21.6</v>
      </c>
      <c r="J49" t="n">
        <v>-16.1</v>
      </c>
      <c r="K49" t="n">
        <v>2700</v>
      </c>
      <c r="L49" t="n">
        <v>335825</v>
      </c>
      <c r="M49" t="n">
        <v>9.067275</v>
      </c>
      <c r="N49" t="n">
        <v>383720.8</v>
      </c>
      <c r="O49" t="n">
        <v>0.8751806000612946</v>
      </c>
      <c r="P49" t="n">
        <v>2.745202277519622</v>
      </c>
      <c r="Q49" t="n">
        <v>34.20751343241174</v>
      </c>
      <c r="R49" t="n">
        <v>28.91898035857946</v>
      </c>
      <c r="S49" t="n">
        <v>5.3</v>
      </c>
      <c r="T49" t="n">
        <v>-2.350813743218805</v>
      </c>
      <c r="U49" t="n">
        <v>-25.51724137931035</v>
      </c>
      <c r="V49" t="n">
        <v>2837</v>
      </c>
      <c r="W49" t="n">
        <v>3099.5</v>
      </c>
      <c r="X49" t="n">
        <v>3424.5</v>
      </c>
      <c r="Y49" t="n">
        <v>0</v>
      </c>
      <c r="Z49" t="n">
        <v>0</v>
      </c>
      <c r="AA49" t="n">
        <v>0</v>
      </c>
      <c r="AB49" t="n">
        <v>1311.662665233871</v>
      </c>
      <c r="AC49" t="n">
        <v>39.7</v>
      </c>
      <c r="AD49" t="n">
        <v>60.8</v>
      </c>
      <c r="AE49" t="n">
        <v>60.7</v>
      </c>
      <c r="AF49" t="n">
        <v>54.4</v>
      </c>
      <c r="AG49" t="inlineStr">
        <is>
          <t>C</t>
        </is>
      </c>
    </row>
    <row r="50">
      <c r="A50" t="inlineStr">
        <is>
          <t>A444530</t>
        </is>
      </c>
      <c r="B50" t="inlineStr">
        <is>
          <t>심플랫폼</t>
        </is>
      </c>
      <c r="C50" t="inlineStr"/>
      <c r="D50" t="inlineStr"/>
      <c r="E50" t="n">
        <v>-10.1</v>
      </c>
      <c r="F50" t="n">
        <v>-12.4</v>
      </c>
      <c r="G50" t="n">
        <v>18.4</v>
      </c>
      <c r="H50" t="n">
        <v>9.300000000000001</v>
      </c>
      <c r="I50" t="n">
        <v>-47.3</v>
      </c>
      <c r="J50" t="n">
        <v>-106.8</v>
      </c>
      <c r="K50" t="n">
        <v>8660</v>
      </c>
      <c r="L50" t="n">
        <v>49346</v>
      </c>
      <c r="M50" t="n">
        <v>4.2733636</v>
      </c>
      <c r="N50" t="n">
        <v>90148.89999999999</v>
      </c>
      <c r="O50" t="n">
        <v>0.5473832736727792</v>
      </c>
      <c r="P50" t="n">
        <v>4.107484431187959</v>
      </c>
      <c r="Q50" t="n">
        <v>40.27813966232483</v>
      </c>
      <c r="R50" t="n">
        <v>21.49260130010759</v>
      </c>
      <c r="S50" t="n">
        <v>18.8</v>
      </c>
      <c r="T50" t="n">
        <v>-1.478953356086465</v>
      </c>
      <c r="U50" t="n">
        <v>-14.25742574257426</v>
      </c>
      <c r="V50" t="n">
        <v>10195</v>
      </c>
      <c r="W50" t="n">
        <v>10186.5</v>
      </c>
      <c r="X50" t="n">
        <v>8517.166666666666</v>
      </c>
      <c r="Y50" t="n">
        <v>0</v>
      </c>
      <c r="Z50" t="n">
        <v>0</v>
      </c>
      <c r="AA50" t="n">
        <v>1</v>
      </c>
      <c r="AB50" t="n">
        <v>2776.086605656441</v>
      </c>
      <c r="AC50" t="n">
        <v>56.9</v>
      </c>
      <c r="AD50" t="n">
        <v>43.3</v>
      </c>
      <c r="AE50" t="n">
        <v>26.7</v>
      </c>
      <c r="AF50" t="n">
        <v>44.1</v>
      </c>
      <c r="AG50" t="inlineStr">
        <is>
          <t>D</t>
        </is>
      </c>
    </row>
    <row r="51">
      <c r="A51" t="inlineStr">
        <is>
          <t>A098070</t>
        </is>
      </c>
      <c r="B51" t="inlineStr">
        <is>
          <t>한텍</t>
        </is>
      </c>
      <c r="C51" t="inlineStr"/>
      <c r="D51" t="inlineStr"/>
      <c r="E51" t="n">
        <v>-101.4</v>
      </c>
      <c r="F51" t="n">
        <v>-763.3</v>
      </c>
      <c r="G51" t="n">
        <v>-1144.7</v>
      </c>
      <c r="H51" t="n">
        <v>-26.7</v>
      </c>
      <c r="I51" t="n">
        <v>170.8</v>
      </c>
      <c r="J51" t="n">
        <v>185.3</v>
      </c>
      <c r="K51" t="n">
        <v>33650</v>
      </c>
      <c r="L51" t="n">
        <v>79927</v>
      </c>
      <c r="M51" t="n">
        <v>26.8954355</v>
      </c>
      <c r="N51" t="n">
        <v>105681.35</v>
      </c>
      <c r="O51" t="n">
        <v>0.7563018451221526</v>
      </c>
      <c r="P51" t="n">
        <v>3.445567740544309</v>
      </c>
      <c r="Q51" t="n">
        <v>35.8571566135819</v>
      </c>
      <c r="R51" t="n">
        <v>38.39694410410029</v>
      </c>
      <c r="S51" t="n">
        <v>-2.5</v>
      </c>
      <c r="T51" t="n">
        <v>-3.443328550932567</v>
      </c>
      <c r="U51" t="n">
        <v>-28.85835095137421</v>
      </c>
      <c r="V51" t="n">
        <v>35375</v>
      </c>
      <c r="W51" t="n">
        <v>38095</v>
      </c>
      <c r="X51" t="n">
        <v>42675.83333333334</v>
      </c>
      <c r="Y51" t="n">
        <v>0</v>
      </c>
      <c r="Z51" t="n">
        <v>0</v>
      </c>
      <c r="AA51" t="n">
        <v>0</v>
      </c>
      <c r="AB51" t="n">
        <v>16681.90321087022</v>
      </c>
      <c r="AC51" t="n">
        <v>35.7</v>
      </c>
      <c r="AD51" t="n">
        <v>30.5</v>
      </c>
      <c r="AE51" t="n">
        <v>49.6</v>
      </c>
      <c r="AF51" t="n">
        <v>35.9</v>
      </c>
      <c r="AG51" t="inlineStr">
        <is>
          <t>D</t>
        </is>
      </c>
    </row>
    <row r="52">
      <c r="A52" t="inlineStr">
        <is>
          <t>A484810</t>
        </is>
      </c>
      <c r="B52" t="inlineStr">
        <is>
          <t>티엑스알로보틱스</t>
        </is>
      </c>
      <c r="C52" t="inlineStr"/>
      <c r="D52" t="inlineStr"/>
      <c r="E52" t="n">
        <v>-12.9</v>
      </c>
      <c r="F52" t="n">
        <v>-22.5</v>
      </c>
      <c r="G52" t="n">
        <v>-54.9</v>
      </c>
      <c r="H52" t="n">
        <v>-5.3</v>
      </c>
      <c r="I52" t="n">
        <v>-5.2</v>
      </c>
      <c r="J52" t="n">
        <v>-44.4</v>
      </c>
      <c r="K52" t="n">
        <v>14210</v>
      </c>
      <c r="L52" t="n">
        <v>46214</v>
      </c>
      <c r="M52" t="n">
        <v>6.5670094</v>
      </c>
      <c r="N52" t="n">
        <v>115519.95</v>
      </c>
      <c r="O52" t="n">
        <v>0.4000521122109211</v>
      </c>
      <c r="P52" t="n">
        <v>3.601223611492379</v>
      </c>
      <c r="Q52" t="n">
        <v>35.03125936842687</v>
      </c>
      <c r="R52" t="n">
        <v>13.35020300616761</v>
      </c>
      <c r="S52" t="n">
        <v>21.7</v>
      </c>
      <c r="T52" t="n">
        <v>-1.250868658790827</v>
      </c>
      <c r="U52" t="n">
        <v>-26.94087403598972</v>
      </c>
      <c r="V52" t="n">
        <v>15351</v>
      </c>
      <c r="W52" t="n">
        <v>16795.5</v>
      </c>
      <c r="X52" t="n">
        <v>16498.33333333333</v>
      </c>
      <c r="Y52" t="n">
        <v>0</v>
      </c>
      <c r="Z52" t="n">
        <v>0</v>
      </c>
      <c r="AA52" t="n">
        <v>0</v>
      </c>
      <c r="AB52" t="n">
        <v>7002.970497544144</v>
      </c>
      <c r="AC52" t="n">
        <v>42.7</v>
      </c>
      <c r="AD52" t="n">
        <v>35.5</v>
      </c>
      <c r="AE52" t="n">
        <v>15.6</v>
      </c>
      <c r="AF52" t="n">
        <v>33.7</v>
      </c>
      <c r="AG52" t="inlineStr">
        <is>
          <t>D</t>
        </is>
      </c>
    </row>
    <row r="53">
      <c r="A53" t="inlineStr">
        <is>
          <t>A480370</t>
        </is>
      </c>
      <c r="B53" t="inlineStr">
        <is>
          <t>씨케이솔루션</t>
        </is>
      </c>
      <c r="C53" t="inlineStr"/>
      <c r="D53" t="inlineStr"/>
      <c r="E53" t="n">
        <v>0</v>
      </c>
      <c r="F53" t="n">
        <v>0</v>
      </c>
      <c r="G53" t="n">
        <v>-6.7</v>
      </c>
      <c r="H53" t="n">
        <v>5.9</v>
      </c>
      <c r="I53" t="n">
        <v>-31</v>
      </c>
      <c r="J53" t="n">
        <v>-35.6</v>
      </c>
      <c r="K53" t="n">
        <v>1686</v>
      </c>
      <c r="L53" t="n">
        <v>147407</v>
      </c>
      <c r="M53" t="n">
        <v>2.48528202</v>
      </c>
      <c r="N53" t="n">
        <v>528844.95</v>
      </c>
      <c r="O53" t="n">
        <v>0.2787338708632842</v>
      </c>
      <c r="P53" t="n">
        <v>3.811891029768218</v>
      </c>
      <c r="Q53" t="n">
        <v>28.66505376138052</v>
      </c>
      <c r="R53" t="n">
        <v>48.41992384339752</v>
      </c>
      <c r="S53" t="n">
        <v>-19.8</v>
      </c>
      <c r="T53" t="n">
        <v>-4.906937394247035</v>
      </c>
      <c r="U53" t="n">
        <v>-31.87878787878788</v>
      </c>
      <c r="V53" t="n">
        <v>1928.2</v>
      </c>
      <c r="W53" t="n">
        <v>2219.1</v>
      </c>
      <c r="X53" t="n">
        <v>2331.85</v>
      </c>
      <c r="Y53" t="n">
        <v>0</v>
      </c>
      <c r="Z53" t="n">
        <v>0</v>
      </c>
      <c r="AA53" t="n">
        <v>0</v>
      </c>
      <c r="AB53" t="n">
        <v>1314.455917060263</v>
      </c>
      <c r="AC53" t="n">
        <v>22.6</v>
      </c>
      <c r="AD53" t="n">
        <v>51.7</v>
      </c>
      <c r="AE53" t="n">
        <v>7.4</v>
      </c>
      <c r="AF53" t="n">
        <v>34.1</v>
      </c>
      <c r="AG53" t="inlineStr">
        <is>
          <t>D</t>
        </is>
      </c>
    </row>
    <row r="54">
      <c r="A54" t="inlineStr">
        <is>
          <t>A031210</t>
        </is>
      </c>
      <c r="B54" t="inlineStr">
        <is>
          <t>서울보증보험</t>
        </is>
      </c>
      <c r="C54" t="inlineStr"/>
      <c r="D54" t="inlineStr"/>
      <c r="E54" t="n">
        <v>-325.7</v>
      </c>
      <c r="F54" t="n">
        <v>-686.7</v>
      </c>
      <c r="G54" t="n">
        <v>-1647.8</v>
      </c>
      <c r="H54" t="n">
        <v>149.1</v>
      </c>
      <c r="I54" t="n">
        <v>172.1</v>
      </c>
      <c r="J54" t="n">
        <v>283</v>
      </c>
      <c r="K54" t="n">
        <v>43300</v>
      </c>
      <c r="L54" t="n">
        <v>100917</v>
      </c>
      <c r="M54" t="n">
        <v>43.697061</v>
      </c>
      <c r="N54" t="n">
        <v>84840.75</v>
      </c>
      <c r="O54" t="n">
        <v>1.189487363089082</v>
      </c>
      <c r="P54" t="n">
        <v>2.29325712299542</v>
      </c>
      <c r="Q54" t="n">
        <v>40.20096623764336</v>
      </c>
      <c r="R54" t="n">
        <v>24.56620715212128</v>
      </c>
      <c r="S54" t="n">
        <v>15.6</v>
      </c>
      <c r="T54" t="n">
        <v>1.524032825322386</v>
      </c>
      <c r="U54" t="n">
        <v>-9.414225941422593</v>
      </c>
      <c r="V54" t="n">
        <v>44880</v>
      </c>
      <c r="W54" t="n">
        <v>45330</v>
      </c>
      <c r="X54" t="n">
        <v>49620</v>
      </c>
      <c r="Y54" t="n">
        <v>0</v>
      </c>
      <c r="Z54" t="n">
        <v>0</v>
      </c>
      <c r="AA54" t="n">
        <v>0</v>
      </c>
      <c r="AB54" t="n">
        <v>5345.494905944041</v>
      </c>
      <c r="AC54" t="n">
        <v>65.3</v>
      </c>
      <c r="AD54" t="n">
        <v>47.1</v>
      </c>
      <c r="AE54" t="n">
        <v>79.3</v>
      </c>
      <c r="AF54" t="n">
        <v>59</v>
      </c>
      <c r="AG54" t="inlineStr">
        <is>
          <t>C</t>
        </is>
      </c>
    </row>
    <row r="55">
      <c r="A55" t="inlineStr">
        <is>
          <t>A226590</t>
        </is>
      </c>
      <c r="B55" t="inlineStr">
        <is>
          <t>엠디바이스</t>
        </is>
      </c>
      <c r="C55" t="inlineStr"/>
      <c r="D55" t="inlineStr"/>
      <c r="E55" t="n">
        <v>-2.8</v>
      </c>
      <c r="F55" t="n">
        <v>16.9</v>
      </c>
      <c r="G55" t="n">
        <v>-616.1</v>
      </c>
      <c r="H55" t="n">
        <v>57.3</v>
      </c>
      <c r="I55" t="n">
        <v>218.3</v>
      </c>
      <c r="J55" t="n">
        <v>264.1</v>
      </c>
      <c r="K55" t="n">
        <v>15710</v>
      </c>
      <c r="L55" t="n">
        <v>180666</v>
      </c>
      <c r="M55" t="n">
        <v>28.3826286</v>
      </c>
      <c r="N55" t="n">
        <v>336789.9</v>
      </c>
      <c r="O55" t="n">
        <v>0.53643532659382</v>
      </c>
      <c r="P55" t="n">
        <v>6.236715051350044</v>
      </c>
      <c r="Q55" t="n">
        <v>31.31530246224895</v>
      </c>
      <c r="R55" t="n">
        <v>15.51615027632475</v>
      </c>
      <c r="S55" t="n">
        <v>15.8</v>
      </c>
      <c r="T55" t="n">
        <v>-3.26354679802956</v>
      </c>
      <c r="U55" t="n">
        <v>-44.97373029772329</v>
      </c>
      <c r="V55" t="n">
        <v>19478</v>
      </c>
      <c r="W55" t="n">
        <v>22456.5</v>
      </c>
      <c r="X55" t="n">
        <v>26156.33333333333</v>
      </c>
      <c r="Y55" t="n">
        <v>0</v>
      </c>
      <c r="Z55" t="n">
        <v>0</v>
      </c>
      <c r="AA55" t="n">
        <v>0</v>
      </c>
      <c r="AB55" t="n">
        <v>15567.28161375984</v>
      </c>
      <c r="AC55" t="n">
        <v>21.2</v>
      </c>
      <c r="AD55" t="n">
        <v>66</v>
      </c>
      <c r="AE55" t="n">
        <v>25.2</v>
      </c>
      <c r="AF55" t="n">
        <v>44.4</v>
      </c>
      <c r="AG55" t="inlineStr">
        <is>
          <t>D</t>
        </is>
      </c>
    </row>
    <row r="56">
      <c r="A56" t="inlineStr">
        <is>
          <t>A393970</t>
        </is>
      </c>
      <c r="B56" t="inlineStr">
        <is>
          <t>대진첨단소재</t>
        </is>
      </c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2825</v>
      </c>
      <c r="L56" t="n">
        <v>0</v>
      </c>
      <c r="M56" t="inlineStr"/>
      <c r="N56" t="n">
        <v>0</v>
      </c>
      <c r="O56" t="inlineStr"/>
      <c r="P56" t="n">
        <v>0</v>
      </c>
      <c r="Q56" t="n">
        <v>100</v>
      </c>
      <c r="R56" t="inlineStr"/>
      <c r="S56" t="inlineStr"/>
      <c r="T56" t="n">
        <v>0</v>
      </c>
      <c r="U56" t="n">
        <v>0</v>
      </c>
      <c r="V56" t="n">
        <v>2825</v>
      </c>
      <c r="W56" t="n">
        <v>2825</v>
      </c>
      <c r="X56" t="n">
        <v>2825</v>
      </c>
      <c r="Y56" t="n">
        <v>0</v>
      </c>
      <c r="Z56" t="n">
        <v>0</v>
      </c>
      <c r="AA56" t="n">
        <v>0</v>
      </c>
      <c r="AB56" t="n">
        <v>0</v>
      </c>
      <c r="AC56" t="n">
        <v>69.59999999999999</v>
      </c>
      <c r="AD56" t="n">
        <v>58</v>
      </c>
      <c r="AE56" t="n">
        <v>50</v>
      </c>
      <c r="AF56" t="n">
        <v>59.9</v>
      </c>
      <c r="AG56" t="inlineStr">
        <is>
          <t>C</t>
        </is>
      </c>
    </row>
    <row r="57">
      <c r="A57" t="inlineStr">
        <is>
          <t>A489500</t>
        </is>
      </c>
      <c r="B57" t="inlineStr">
        <is>
          <t>엘케이켐</t>
        </is>
      </c>
      <c r="C57" t="inlineStr"/>
      <c r="D57" t="inlineStr"/>
      <c r="E57" t="n">
        <v>15.4</v>
      </c>
      <c r="F57" t="n">
        <v>17.9</v>
      </c>
      <c r="G57" t="n">
        <v>38.8</v>
      </c>
      <c r="H57" t="n">
        <v>-26.7</v>
      </c>
      <c r="I57" t="n">
        <v>-127.5</v>
      </c>
      <c r="J57" t="n">
        <v>250.3</v>
      </c>
      <c r="K57" t="n">
        <v>29050</v>
      </c>
      <c r="L57" t="n">
        <v>85395</v>
      </c>
      <c r="M57" t="n">
        <v>24.8072475</v>
      </c>
      <c r="N57" t="n">
        <v>125373.6</v>
      </c>
      <c r="O57" t="n">
        <v>0.6811242558241927</v>
      </c>
      <c r="P57" t="n">
        <v>4.988761712298966</v>
      </c>
      <c r="Q57" t="n">
        <v>40.54500581919264</v>
      </c>
      <c r="R57" t="n">
        <v>48.83167951018562</v>
      </c>
      <c r="S57" t="n">
        <v>-8.300000000000001</v>
      </c>
      <c r="T57" t="n">
        <v>-5.065359477124187</v>
      </c>
      <c r="U57" t="n">
        <v>-15.91895803183792</v>
      </c>
      <c r="V57" t="n">
        <v>33845</v>
      </c>
      <c r="W57" t="n">
        <v>33535</v>
      </c>
      <c r="X57" t="n">
        <v>33782.5</v>
      </c>
      <c r="Y57" t="n">
        <v>0</v>
      </c>
      <c r="Z57" t="n">
        <v>0</v>
      </c>
      <c r="AA57" t="n">
        <v>0</v>
      </c>
      <c r="AB57" t="n">
        <v>11368.67348647612</v>
      </c>
      <c r="AC57" t="n">
        <v>45.8</v>
      </c>
      <c r="AD57" t="n">
        <v>58.9</v>
      </c>
      <c r="AE57" t="n">
        <v>36.3</v>
      </c>
      <c r="AF57" t="n">
        <v>50.4</v>
      </c>
      <c r="AG57" t="inlineStr">
        <is>
          <t>C</t>
        </is>
      </c>
    </row>
    <row r="58">
      <c r="A58" t="inlineStr">
        <is>
          <t>A479960</t>
        </is>
      </c>
      <c r="B58" t="inlineStr">
        <is>
          <t>위너스</t>
        </is>
      </c>
      <c r="C58" t="inlineStr"/>
      <c r="D58" t="inlineStr"/>
      <c r="E58" t="n">
        <v>0</v>
      </c>
      <c r="F58" t="n">
        <v>0</v>
      </c>
      <c r="G58" t="n">
        <v>2.4</v>
      </c>
      <c r="H58" t="n">
        <v>-7.2</v>
      </c>
      <c r="I58" t="n">
        <v>-4.8</v>
      </c>
      <c r="J58" t="n">
        <v>14.1</v>
      </c>
      <c r="K58" t="n">
        <v>7690</v>
      </c>
      <c r="L58" t="n">
        <v>33481</v>
      </c>
      <c r="M58" t="n">
        <v>2.5746889</v>
      </c>
      <c r="N58" t="n">
        <v>161919.4</v>
      </c>
      <c r="O58" t="n">
        <v>0.206775716807251</v>
      </c>
      <c r="P58" t="n">
        <v>4.905671756117997</v>
      </c>
      <c r="Q58" t="n">
        <v>28.69904961318581</v>
      </c>
      <c r="R58" t="n">
        <v>7.561879359411735</v>
      </c>
      <c r="S58" t="n">
        <v>21.1</v>
      </c>
      <c r="T58" t="n">
        <v>-5.875152998776012</v>
      </c>
      <c r="U58" t="n">
        <v>-34.88569009314141</v>
      </c>
      <c r="V58" t="n">
        <v>9246</v>
      </c>
      <c r="W58" t="n">
        <v>10527</v>
      </c>
      <c r="X58" t="n">
        <v>10296.83333333333</v>
      </c>
      <c r="Y58" t="n">
        <v>0</v>
      </c>
      <c r="Z58" t="n">
        <v>0</v>
      </c>
      <c r="AA58" t="n">
        <v>0</v>
      </c>
      <c r="AB58" t="n">
        <v>6507.687437905551</v>
      </c>
      <c r="AC58" t="n">
        <v>18.1</v>
      </c>
      <c r="AD58" t="n">
        <v>54.1</v>
      </c>
      <c r="AE58" t="n">
        <v>3</v>
      </c>
      <c r="AF58" t="n">
        <v>33.1</v>
      </c>
      <c r="AG58" t="inlineStr">
        <is>
          <t>D</t>
        </is>
      </c>
    </row>
    <row r="59">
      <c r="A59" t="inlineStr">
        <is>
          <t>A463480</t>
        </is>
      </c>
      <c r="B59" t="inlineStr">
        <is>
          <t>모티브링크</t>
        </is>
      </c>
      <c r="C59" t="inlineStr"/>
      <c r="D59" t="inlineStr"/>
      <c r="E59" t="n">
        <v>0</v>
      </c>
      <c r="F59" t="n">
        <v>0</v>
      </c>
      <c r="G59" t="n">
        <v>0</v>
      </c>
      <c r="H59" t="n">
        <v>-5.4</v>
      </c>
      <c r="I59" t="n">
        <v>-30.4</v>
      </c>
      <c r="J59" t="n">
        <v>-109</v>
      </c>
      <c r="K59" t="n">
        <v>5490</v>
      </c>
      <c r="L59" t="n">
        <v>55679</v>
      </c>
      <c r="M59" t="n">
        <v>3.0567771</v>
      </c>
      <c r="N59" t="n">
        <v>163394.5</v>
      </c>
      <c r="O59" t="n">
        <v>0.3407642240099881</v>
      </c>
      <c r="P59" t="n">
        <v>3.751891311093188</v>
      </c>
      <c r="Q59" t="n">
        <v>28.7813225963766</v>
      </c>
      <c r="R59" t="n">
        <v>8.014907146201383</v>
      </c>
      <c r="S59" t="n">
        <v>20.8</v>
      </c>
      <c r="T59" t="n">
        <v>-3.345070422535212</v>
      </c>
      <c r="U59" t="n">
        <v>-37.04128440366973</v>
      </c>
      <c r="V59" t="n">
        <v>6428</v>
      </c>
      <c r="W59" t="n">
        <v>7266</v>
      </c>
      <c r="X59" t="n">
        <v>7378.5</v>
      </c>
      <c r="Y59" t="n">
        <v>0</v>
      </c>
      <c r="Z59" t="n">
        <v>0</v>
      </c>
      <c r="AA59" t="n">
        <v>0</v>
      </c>
      <c r="AB59" t="n">
        <v>4126.390547120864</v>
      </c>
      <c r="AC59" t="n">
        <v>23.4</v>
      </c>
      <c r="AD59" t="n">
        <v>46.1</v>
      </c>
      <c r="AE59" t="n">
        <v>12.6</v>
      </c>
      <c r="AF59" t="n">
        <v>32.6</v>
      </c>
      <c r="AG59" t="inlineStr">
        <is>
          <t>D</t>
        </is>
      </c>
    </row>
    <row r="60">
      <c r="A60" t="inlineStr">
        <is>
          <t>A303810</t>
        </is>
      </c>
      <c r="B60" t="inlineStr">
        <is>
          <t>동국생명과학</t>
        </is>
      </c>
      <c r="C60" t="inlineStr"/>
      <c r="D60" t="inlineStr"/>
      <c r="E60" t="n">
        <v>0</v>
      </c>
      <c r="F60" t="n">
        <v>0</v>
      </c>
      <c r="G60" t="n">
        <v>-0.2</v>
      </c>
      <c r="H60" t="n">
        <v>0.7</v>
      </c>
      <c r="I60" t="n">
        <v>-24.1</v>
      </c>
      <c r="J60" t="n">
        <v>-111.9</v>
      </c>
      <c r="K60" t="n">
        <v>2865</v>
      </c>
      <c r="L60" t="n">
        <v>150018</v>
      </c>
      <c r="M60" t="n">
        <v>4.2980157</v>
      </c>
      <c r="N60" t="n">
        <v>149016.05</v>
      </c>
      <c r="O60" t="n">
        <v>1.006723772372171</v>
      </c>
      <c r="P60" t="n">
        <v>1.459116091082933</v>
      </c>
      <c r="Q60" t="n">
        <v>34.59732650050778</v>
      </c>
      <c r="R60" t="n">
        <v>9.69951396287469</v>
      </c>
      <c r="S60" t="n">
        <v>24.9</v>
      </c>
      <c r="T60" t="n">
        <v>1.415929203539834</v>
      </c>
      <c r="U60" t="n">
        <v>-17.19653179190751</v>
      </c>
      <c r="V60" t="n">
        <v>2967.5</v>
      </c>
      <c r="W60" t="n">
        <v>3091.5</v>
      </c>
      <c r="X60" t="n">
        <v>3299.25</v>
      </c>
      <c r="Y60" t="n">
        <v>0</v>
      </c>
      <c r="Z60" t="n">
        <v>0</v>
      </c>
      <c r="AA60" t="n">
        <v>0</v>
      </c>
      <c r="AB60" t="n">
        <v>652.4480217248201</v>
      </c>
      <c r="AC60" t="n">
        <v>56.2</v>
      </c>
      <c r="AD60" t="n">
        <v>49.2</v>
      </c>
      <c r="AE60" t="n">
        <v>68.90000000000001</v>
      </c>
      <c r="AF60" t="n">
        <v>55.2</v>
      </c>
      <c r="AG60" t="inlineStr">
        <is>
          <t>C</t>
        </is>
      </c>
    </row>
    <row r="61">
      <c r="A61" t="inlineStr">
        <is>
          <t>A475830</t>
        </is>
      </c>
      <c r="B61" t="inlineStr">
        <is>
          <t>오름테라퓨틱</t>
        </is>
      </c>
      <c r="C61" t="inlineStr"/>
      <c r="D61" t="inlineStr"/>
      <c r="E61" t="n">
        <v>-10.5</v>
      </c>
      <c r="F61" t="n">
        <v>-40.5</v>
      </c>
      <c r="G61" t="n">
        <v>-848.9</v>
      </c>
      <c r="H61" t="n">
        <v>496.9</v>
      </c>
      <c r="I61" t="n">
        <v>574.8</v>
      </c>
      <c r="J61" t="n">
        <v>3648.8</v>
      </c>
      <c r="K61" t="n">
        <v>63700</v>
      </c>
      <c r="L61" t="n">
        <v>170121</v>
      </c>
      <c r="M61" t="n">
        <v>108.367077</v>
      </c>
      <c r="N61" t="n">
        <v>211348.75</v>
      </c>
      <c r="O61" t="n">
        <v>0.8049302397104312</v>
      </c>
      <c r="P61" t="n">
        <v>4.638969787613054</v>
      </c>
      <c r="Q61" t="n">
        <v>37.06180706253006</v>
      </c>
      <c r="R61" t="n">
        <v>18.73063733017192</v>
      </c>
      <c r="S61" t="n">
        <v>18.3</v>
      </c>
      <c r="T61" t="n">
        <v>0</v>
      </c>
      <c r="U61" t="n">
        <v>-27.77777777777778</v>
      </c>
      <c r="V61" t="n">
        <v>67930</v>
      </c>
      <c r="W61" t="n">
        <v>74700</v>
      </c>
      <c r="X61" t="n">
        <v>90868.33333333333</v>
      </c>
      <c r="Y61" t="n">
        <v>0</v>
      </c>
      <c r="Z61" t="n">
        <v>0</v>
      </c>
      <c r="AA61" t="n">
        <v>0</v>
      </c>
      <c r="AB61" t="n">
        <v>36003.50860095402</v>
      </c>
      <c r="AC61" t="n">
        <v>46.2</v>
      </c>
      <c r="AD61" t="n">
        <v>60.5</v>
      </c>
      <c r="AE61" t="n">
        <v>56.3</v>
      </c>
      <c r="AF61" t="n">
        <v>55.4</v>
      </c>
      <c r="AG61" t="inlineStr">
        <is>
          <t>C</t>
        </is>
      </c>
    </row>
    <row r="62">
      <c r="A62" t="inlineStr">
        <is>
          <t>A240550</t>
        </is>
      </c>
      <c r="B62" t="inlineStr">
        <is>
          <t>동방메디컬</t>
        </is>
      </c>
      <c r="C62" t="inlineStr"/>
      <c r="D62" t="inlineStr"/>
      <c r="E62" t="n">
        <v>14.1</v>
      </c>
      <c r="F62" t="n">
        <v>16.8</v>
      </c>
      <c r="G62" t="n">
        <v>304.9</v>
      </c>
      <c r="H62" t="n">
        <v>7.2</v>
      </c>
      <c r="I62" t="n">
        <v>-122.2</v>
      </c>
      <c r="J62" t="n">
        <v>-271.5</v>
      </c>
      <c r="K62" t="n">
        <v>6460</v>
      </c>
      <c r="L62" t="n">
        <v>147814</v>
      </c>
      <c r="M62" t="n">
        <v>9.548784400000001</v>
      </c>
      <c r="N62" t="n">
        <v>304899.15</v>
      </c>
      <c r="O62" t="n">
        <v>0.4847963662738974</v>
      </c>
      <c r="P62" t="n">
        <v>3.856900512724081</v>
      </c>
      <c r="Q62" t="n">
        <v>38.34463748050477</v>
      </c>
      <c r="R62" t="n">
        <v>26.46528997427938</v>
      </c>
      <c r="S62" t="n">
        <v>11.9</v>
      </c>
      <c r="T62" t="n">
        <v>-3.293413173652693</v>
      </c>
      <c r="U62" t="n">
        <v>-7.582260371959943</v>
      </c>
      <c r="V62" t="n">
        <v>7383</v>
      </c>
      <c r="W62" t="n">
        <v>7338.5</v>
      </c>
      <c r="X62" t="n">
        <v>6982.166666666667</v>
      </c>
      <c r="Y62" t="n">
        <v>0</v>
      </c>
      <c r="Z62" t="n">
        <v>0</v>
      </c>
      <c r="AA62" t="n">
        <v>0</v>
      </c>
      <c r="AB62" t="n">
        <v>2181.617941369488</v>
      </c>
      <c r="AC62" t="n">
        <v>52.6</v>
      </c>
      <c r="AD62" t="n">
        <v>60.5</v>
      </c>
      <c r="AE62" t="n">
        <v>22.2</v>
      </c>
      <c r="AF62" t="n">
        <v>50.5</v>
      </c>
      <c r="AG62" t="inlineStr">
        <is>
          <t>C</t>
        </is>
      </c>
    </row>
    <row r="63">
      <c r="A63" t="inlineStr">
        <is>
          <t>A212710</t>
        </is>
      </c>
      <c r="B63" t="inlineStr">
        <is>
          <t>아이에스티이</t>
        </is>
      </c>
      <c r="C63" t="inlineStr"/>
      <c r="D63" t="inlineStr"/>
      <c r="E63" t="n">
        <v>-0.4</v>
      </c>
      <c r="F63" t="n">
        <v>-59.9</v>
      </c>
      <c r="G63" t="n">
        <v>-131.4</v>
      </c>
      <c r="H63" t="n">
        <v>37.2</v>
      </c>
      <c r="I63" t="n">
        <v>93.59999999999999</v>
      </c>
      <c r="J63" t="n">
        <v>705.1</v>
      </c>
      <c r="K63" t="n">
        <v>10860</v>
      </c>
      <c r="L63" t="n">
        <v>248625</v>
      </c>
      <c r="M63" t="n">
        <v>27.000675</v>
      </c>
      <c r="N63" t="n">
        <v>452624.65</v>
      </c>
      <c r="O63" t="n">
        <v>0.5492961994005408</v>
      </c>
      <c r="P63" t="n">
        <v>6.243714895292161</v>
      </c>
      <c r="Q63" t="n">
        <v>52.29806848609964</v>
      </c>
      <c r="R63" t="n">
        <v>72.72956059955997</v>
      </c>
      <c r="S63" t="n">
        <v>-20.4</v>
      </c>
      <c r="T63" t="n">
        <v>-6.540447504302927</v>
      </c>
      <c r="U63" t="n">
        <v>18.94852135815991</v>
      </c>
      <c r="V63" t="n">
        <v>11680</v>
      </c>
      <c r="W63" t="n">
        <v>11068.5</v>
      </c>
      <c r="X63" t="n">
        <v>8977.833333333334</v>
      </c>
      <c r="Y63" t="n">
        <v>0</v>
      </c>
      <c r="Z63" t="n">
        <v>0</v>
      </c>
      <c r="AA63" t="n">
        <v>1</v>
      </c>
      <c r="AB63" t="n">
        <v>4450.585295630721</v>
      </c>
      <c r="AC63" t="n">
        <v>53.2</v>
      </c>
      <c r="AD63" t="n">
        <v>57.7</v>
      </c>
      <c r="AE63" t="n">
        <v>27.4</v>
      </c>
      <c r="AF63" t="n">
        <v>50.3</v>
      </c>
      <c r="AG63" t="inlineStr">
        <is>
          <t>C</t>
        </is>
      </c>
    </row>
    <row r="64">
      <c r="A64" t="inlineStr">
        <is>
          <t>A064400</t>
        </is>
      </c>
      <c r="B64" t="inlineStr">
        <is>
          <t>LG씨엔에스</t>
        </is>
      </c>
      <c r="C64" t="inlineStr"/>
      <c r="D64" t="inlineStr"/>
      <c r="E64" t="n">
        <v>501.8</v>
      </c>
      <c r="F64" t="n">
        <v>4539.1</v>
      </c>
      <c r="G64" t="n">
        <v>12349.5</v>
      </c>
      <c r="H64" t="n">
        <v>-11982.8</v>
      </c>
      <c r="I64" t="n">
        <v>-8865</v>
      </c>
      <c r="J64" t="n">
        <v>-10454.1</v>
      </c>
      <c r="K64" t="n">
        <v>135700</v>
      </c>
      <c r="L64" t="n">
        <v>7085039</v>
      </c>
      <c r="M64" t="n">
        <v>9614.397923</v>
      </c>
      <c r="N64" t="n">
        <v>3773866.4</v>
      </c>
      <c r="O64" t="n">
        <v>1.877395288821035</v>
      </c>
      <c r="P64" t="n">
        <v>8.925695667371016</v>
      </c>
      <c r="Q64" t="n">
        <v>76.45074366963945</v>
      </c>
      <c r="R64" t="n">
        <v>84.95325673894679</v>
      </c>
      <c r="S64" t="n">
        <v>-8.5</v>
      </c>
      <c r="T64" t="n">
        <v>-5.567153792623525</v>
      </c>
      <c r="U64" t="n">
        <v>108.7692307692308</v>
      </c>
      <c r="V64" t="n">
        <v>96770</v>
      </c>
      <c r="W64" t="n">
        <v>85515</v>
      </c>
      <c r="X64" t="n">
        <v>70971.66666666667</v>
      </c>
      <c r="Y64" t="n">
        <v>1</v>
      </c>
      <c r="Z64" t="n">
        <v>1</v>
      </c>
      <c r="AA64" t="n">
        <v>1</v>
      </c>
      <c r="AB64" t="n">
        <v>86826.94464156547</v>
      </c>
      <c r="AC64" t="n">
        <v>76.8</v>
      </c>
      <c r="AD64" t="n">
        <v>50.4</v>
      </c>
      <c r="AE64" t="n">
        <v>94.8</v>
      </c>
      <c r="AF64" t="n">
        <v>67.2</v>
      </c>
      <c r="AG64" t="inlineStr">
        <is>
          <t>B</t>
        </is>
      </c>
    </row>
    <row r="65">
      <c r="A65" t="inlineStr">
        <is>
          <t>A452450</t>
        </is>
      </c>
      <c r="B65" t="inlineStr">
        <is>
          <t>피아이이</t>
        </is>
      </c>
      <c r="C65" t="inlineStr"/>
      <c r="D65" t="inlineStr"/>
      <c r="E65" t="n">
        <v>0.4</v>
      </c>
      <c r="F65" t="n">
        <v>0.5</v>
      </c>
      <c r="G65" t="n">
        <v>0.7</v>
      </c>
      <c r="H65" t="n">
        <v>1.2</v>
      </c>
      <c r="I65" t="n">
        <v>7.5</v>
      </c>
      <c r="J65" t="n">
        <v>-47.2</v>
      </c>
      <c r="K65" t="n">
        <v>5020</v>
      </c>
      <c r="L65" t="n">
        <v>405012</v>
      </c>
      <c r="M65" t="n">
        <v>20.3316024</v>
      </c>
      <c r="N65" t="n">
        <v>1014758.25</v>
      </c>
      <c r="O65" t="n">
        <v>0.3991216627211456</v>
      </c>
      <c r="P65" t="n">
        <v>4.626629537929892</v>
      </c>
      <c r="Q65" t="n">
        <v>36.27005308454519</v>
      </c>
      <c r="R65" t="n">
        <v>65.33241779060356</v>
      </c>
      <c r="S65" t="n">
        <v>-29.1</v>
      </c>
      <c r="T65" t="n">
        <v>-1.953125</v>
      </c>
      <c r="U65" t="n">
        <v>-27.35166425470333</v>
      </c>
      <c r="V65" t="n">
        <v>5574</v>
      </c>
      <c r="W65" t="n">
        <v>6161.5</v>
      </c>
      <c r="X65" t="n">
        <v>5903.5</v>
      </c>
      <c r="Y65" t="n">
        <v>0</v>
      </c>
      <c r="Z65" t="n">
        <v>0</v>
      </c>
      <c r="AA65" t="n">
        <v>0</v>
      </c>
      <c r="AB65" t="n">
        <v>3104.015056935812</v>
      </c>
      <c r="AC65" t="n">
        <v>41.8</v>
      </c>
      <c r="AD65" t="n">
        <v>63.4</v>
      </c>
      <c r="AE65" t="n">
        <v>14.8</v>
      </c>
      <c r="AF65" t="n">
        <v>47.2</v>
      </c>
      <c r="AG65" t="inlineStr">
        <is>
          <t>D</t>
        </is>
      </c>
    </row>
    <row r="66">
      <c r="A66" t="inlineStr">
        <is>
          <t>A462980</t>
        </is>
      </c>
      <c r="B66" t="inlineStr">
        <is>
          <t>아이지넷</t>
        </is>
      </c>
      <c r="C66" t="inlineStr"/>
      <c r="D66" t="inlineStr"/>
      <c r="E66" t="n">
        <v>0.4</v>
      </c>
      <c r="F66" t="n">
        <v>1.5</v>
      </c>
      <c r="G66" t="n">
        <v>8.4</v>
      </c>
      <c r="H66" t="n">
        <v>-14</v>
      </c>
      <c r="I66" t="n">
        <v>-36.4</v>
      </c>
      <c r="J66" t="n">
        <v>-81.7</v>
      </c>
      <c r="K66" t="n">
        <v>1582</v>
      </c>
      <c r="L66" t="n">
        <v>2187653</v>
      </c>
      <c r="M66" t="n">
        <v>34.60867046</v>
      </c>
      <c r="N66" t="n">
        <v>260962.05</v>
      </c>
      <c r="O66" t="n">
        <v>8.383031172540223</v>
      </c>
      <c r="P66" t="n">
        <v>3.006719944235766</v>
      </c>
      <c r="Q66" t="n">
        <v>30.98883091985094</v>
      </c>
      <c r="R66" t="n">
        <v>9.830713509424594</v>
      </c>
      <c r="S66" t="n">
        <v>21.2</v>
      </c>
      <c r="T66" t="n">
        <v>5.466666666666664</v>
      </c>
      <c r="U66" t="n">
        <v>-31.66306695464363</v>
      </c>
      <c r="V66" t="n">
        <v>1650.1</v>
      </c>
      <c r="W66" t="n">
        <v>1870.85</v>
      </c>
      <c r="X66" t="n">
        <v>2184.533333333333</v>
      </c>
      <c r="Y66" t="n">
        <v>0</v>
      </c>
      <c r="Z66" t="n">
        <v>0</v>
      </c>
      <c r="AA66" t="n">
        <v>0</v>
      </c>
      <c r="AB66" t="n">
        <v>1034.297137393824</v>
      </c>
      <c r="AC66" t="n">
        <v>43.7</v>
      </c>
      <c r="AD66" t="n">
        <v>52.1</v>
      </c>
      <c r="AE66" t="n">
        <v>100</v>
      </c>
      <c r="AF66" t="n">
        <v>59.2</v>
      </c>
      <c r="AG66" t="inlineStr">
        <is>
          <t>C</t>
        </is>
      </c>
    </row>
    <row r="67">
      <c r="A67" t="inlineStr">
        <is>
          <t>A482630</t>
        </is>
      </c>
      <c r="B67" t="inlineStr">
        <is>
          <t>삼양엔씨켐</t>
        </is>
      </c>
      <c r="C67" t="inlineStr"/>
      <c r="D67" t="inlineStr"/>
      <c r="E67" t="n">
        <v>-39.1</v>
      </c>
      <c r="F67" t="n">
        <v>-72.09999999999999</v>
      </c>
      <c r="G67" t="n">
        <v>-473.9</v>
      </c>
      <c r="H67" t="n">
        <v>14.9</v>
      </c>
      <c r="I67" t="n">
        <v>-445.6</v>
      </c>
      <c r="J67" t="n">
        <v>402</v>
      </c>
      <c r="K67" t="n">
        <v>14800</v>
      </c>
      <c r="L67" t="n">
        <v>270315</v>
      </c>
      <c r="M67" t="n">
        <v>40.00662</v>
      </c>
      <c r="N67" t="n">
        <v>544406.3</v>
      </c>
      <c r="O67" t="n">
        <v>0.4965317263962595</v>
      </c>
      <c r="P67" t="n">
        <v>5.90748217044241</v>
      </c>
      <c r="Q67" t="n">
        <v>35.10946296297536</v>
      </c>
      <c r="R67" t="n">
        <v>29.47854846042682</v>
      </c>
      <c r="S67" t="n">
        <v>5.6</v>
      </c>
      <c r="T67" t="n">
        <v>-1.986754966887416</v>
      </c>
      <c r="U67" t="n">
        <v>-23.39544513457557</v>
      </c>
      <c r="V67" t="n">
        <v>18642</v>
      </c>
      <c r="W67" t="n">
        <v>19258.5</v>
      </c>
      <c r="X67" t="n">
        <v>18404.33333333333</v>
      </c>
      <c r="Y67" t="n">
        <v>0</v>
      </c>
      <c r="Z67" t="n">
        <v>0</v>
      </c>
      <c r="AA67" t="n">
        <v>0</v>
      </c>
      <c r="AB67" t="n">
        <v>8988.181948360965</v>
      </c>
      <c r="AC67" t="n">
        <v>44.2</v>
      </c>
      <c r="AD67" t="n">
        <v>34.8</v>
      </c>
      <c r="AE67" t="n">
        <v>23</v>
      </c>
      <c r="AF67" t="n">
        <v>35.3</v>
      </c>
      <c r="AG67" t="inlineStr">
        <is>
          <t>D</t>
        </is>
      </c>
    </row>
    <row r="68">
      <c r="A68" t="inlineStr">
        <is>
          <t>A096250</t>
        </is>
      </c>
      <c r="B68" t="inlineStr">
        <is>
          <t>와이즈넛</t>
        </is>
      </c>
      <c r="C68" t="inlineStr"/>
      <c r="D68" t="inlineStr"/>
      <c r="E68" t="n">
        <v>-19.1</v>
      </c>
      <c r="F68" t="n">
        <v>-42.9</v>
      </c>
      <c r="G68" t="n">
        <v>-64.3</v>
      </c>
      <c r="H68" t="n">
        <v>-11</v>
      </c>
      <c r="I68" t="n">
        <v>-18.1</v>
      </c>
      <c r="J68" t="n">
        <v>-50.5</v>
      </c>
      <c r="K68" t="n">
        <v>7640</v>
      </c>
      <c r="L68" t="n">
        <v>104214</v>
      </c>
      <c r="M68" t="n">
        <v>7.9619496</v>
      </c>
      <c r="N68" t="n">
        <v>68264.10000000001</v>
      </c>
      <c r="O68" t="n">
        <v>1.526629663322302</v>
      </c>
      <c r="P68" t="n">
        <v>2.742295236305782</v>
      </c>
      <c r="Q68" t="n">
        <v>27.97373262164432</v>
      </c>
      <c r="R68" t="n">
        <v>14.19876110580013</v>
      </c>
      <c r="S68" t="n">
        <v>13.8</v>
      </c>
      <c r="T68" t="n">
        <v>-4.260651629072687</v>
      </c>
      <c r="U68" t="n">
        <v>-31.47982062780269</v>
      </c>
      <c r="V68" t="n">
        <v>8534</v>
      </c>
      <c r="W68" t="n">
        <v>9206.5</v>
      </c>
      <c r="X68" t="n">
        <v>10092.66666666667</v>
      </c>
      <c r="Y68" t="n">
        <v>0</v>
      </c>
      <c r="Z68" t="n">
        <v>0</v>
      </c>
      <c r="AA68" t="n">
        <v>0</v>
      </c>
      <c r="AB68" t="n">
        <v>3522.254660687796</v>
      </c>
      <c r="AC68" t="n">
        <v>24.7</v>
      </c>
      <c r="AD68" t="n">
        <v>29.8</v>
      </c>
      <c r="AE68" t="n">
        <v>88.90000000000001</v>
      </c>
      <c r="AF68" t="n">
        <v>40.1</v>
      </c>
      <c r="AG68" t="inlineStr">
        <is>
          <t>D</t>
        </is>
      </c>
    </row>
    <row r="69">
      <c r="A69" t="inlineStr">
        <is>
          <t>A450950</t>
        </is>
      </c>
      <c r="B69" t="inlineStr">
        <is>
          <t>아스테라시스</t>
        </is>
      </c>
      <c r="C69" t="inlineStr"/>
      <c r="D69" t="inlineStr"/>
      <c r="E69" t="n">
        <v>-0.8</v>
      </c>
      <c r="F69" t="n">
        <v>5.1</v>
      </c>
      <c r="G69" t="n">
        <v>28</v>
      </c>
      <c r="H69" t="n">
        <v>-8.9</v>
      </c>
      <c r="I69" t="n">
        <v>3.3</v>
      </c>
      <c r="J69" t="n">
        <v>41.9</v>
      </c>
      <c r="K69" t="n">
        <v>8120</v>
      </c>
      <c r="L69" t="n">
        <v>63213</v>
      </c>
      <c r="M69" t="n">
        <v>5.1328956</v>
      </c>
      <c r="N69" t="n">
        <v>61630</v>
      </c>
      <c r="O69" t="n">
        <v>1.025685542755152</v>
      </c>
      <c r="P69" t="n">
        <v>2.59863908207088</v>
      </c>
      <c r="Q69" t="n">
        <v>27.55934877967123</v>
      </c>
      <c r="R69" t="n">
        <v>13.79432829129203</v>
      </c>
      <c r="S69" t="n">
        <v>13.8</v>
      </c>
      <c r="T69" t="n">
        <v>-1.694915254237284</v>
      </c>
      <c r="U69" t="n">
        <v>-28.58399296394019</v>
      </c>
      <c r="V69" t="n">
        <v>9019</v>
      </c>
      <c r="W69" t="n">
        <v>9779.5</v>
      </c>
      <c r="X69" t="n">
        <v>10834.33333333333</v>
      </c>
      <c r="Y69" t="n">
        <v>0</v>
      </c>
      <c r="Z69" t="n">
        <v>0</v>
      </c>
      <c r="AA69" t="n">
        <v>0</v>
      </c>
      <c r="AB69" t="n">
        <v>3875.504177726939</v>
      </c>
      <c r="AC69" t="n">
        <v>33.4</v>
      </c>
      <c r="AD69" t="n">
        <v>56.9</v>
      </c>
      <c r="AE69" t="n">
        <v>69.59999999999999</v>
      </c>
      <c r="AF69" t="n">
        <v>52.4</v>
      </c>
      <c r="AG69" t="inlineStr">
        <is>
          <t>C</t>
        </is>
      </c>
    </row>
    <row r="70">
      <c r="A70" t="inlineStr">
        <is>
          <t>A373160</t>
        </is>
      </c>
      <c r="B70" t="inlineStr">
        <is>
          <t>데이원컴퍼니</t>
        </is>
      </c>
      <c r="C70" t="inlineStr"/>
      <c r="D70" t="inlineStr"/>
      <c r="E70" t="n">
        <v>3.7</v>
      </c>
      <c r="F70" t="n">
        <v>12.8</v>
      </c>
      <c r="G70" t="n">
        <v>56.5</v>
      </c>
      <c r="H70" t="n">
        <v>-1.8</v>
      </c>
      <c r="I70" t="n">
        <v>-6.6</v>
      </c>
      <c r="J70" t="n">
        <v>-18.4</v>
      </c>
      <c r="K70" t="n">
        <v>3845</v>
      </c>
      <c r="L70" t="n">
        <v>35097</v>
      </c>
      <c r="M70" t="n">
        <v>1.34947965</v>
      </c>
      <c r="N70" t="n">
        <v>33237.35</v>
      </c>
      <c r="O70" t="n">
        <v>1.055950609780864</v>
      </c>
      <c r="P70" t="n">
        <v>4.078046347982627</v>
      </c>
      <c r="Q70" t="n">
        <v>35.0839596862295</v>
      </c>
      <c r="R70" t="n">
        <v>11.71441374650513</v>
      </c>
      <c r="S70" t="n">
        <v>23.4</v>
      </c>
      <c r="T70" t="n">
        <v>5.631868131868134</v>
      </c>
      <c r="U70" t="n">
        <v>-23.25349301397206</v>
      </c>
      <c r="V70" t="n">
        <v>4253</v>
      </c>
      <c r="W70" t="n">
        <v>4457.5</v>
      </c>
      <c r="X70" t="n">
        <v>4638.166666666667</v>
      </c>
      <c r="Y70" t="n">
        <v>0</v>
      </c>
      <c r="Z70" t="n">
        <v>0</v>
      </c>
      <c r="AA70" t="n">
        <v>0</v>
      </c>
      <c r="AB70" t="n">
        <v>1351.264514990937</v>
      </c>
      <c r="AC70" t="n">
        <v>55.7</v>
      </c>
      <c r="AD70" t="n">
        <v>65.09999999999999</v>
      </c>
      <c r="AE70" t="n">
        <v>71.90000000000001</v>
      </c>
      <c r="AF70" t="n">
        <v>63.6</v>
      </c>
      <c r="AG70" t="inlineStr">
        <is>
          <t>C</t>
        </is>
      </c>
    </row>
    <row r="71">
      <c r="A71" t="inlineStr">
        <is>
          <t>A475460</t>
        </is>
      </c>
      <c r="B71" t="inlineStr">
        <is>
          <t>미트박스</t>
        </is>
      </c>
      <c r="C71" t="inlineStr"/>
      <c r="D71" t="inlineStr"/>
      <c r="E71" t="n">
        <v>0</v>
      </c>
      <c r="F71" t="n">
        <v>0</v>
      </c>
      <c r="G71" t="n">
        <v>-0.2</v>
      </c>
      <c r="H71" t="n">
        <v>-6</v>
      </c>
      <c r="I71" t="n">
        <v>-15.4</v>
      </c>
      <c r="J71" t="n">
        <v>-35.4</v>
      </c>
      <c r="K71" t="n">
        <v>6470</v>
      </c>
      <c r="L71" t="n">
        <v>21905</v>
      </c>
      <c r="M71" t="n">
        <v>1.4172535</v>
      </c>
      <c r="N71" t="n">
        <v>22842</v>
      </c>
      <c r="O71" t="n">
        <v>0.958979073636284</v>
      </c>
      <c r="P71" t="n">
        <v>2.186372832844706</v>
      </c>
      <c r="Q71" t="n">
        <v>26.20071891086649</v>
      </c>
      <c r="R71" t="n">
        <v>12.97641241753538</v>
      </c>
      <c r="S71" t="n">
        <v>13.2</v>
      </c>
      <c r="T71" t="n">
        <v>0.4658385093167627</v>
      </c>
      <c r="U71" t="n">
        <v>-22.42206235011991</v>
      </c>
      <c r="V71" t="n">
        <v>7331</v>
      </c>
      <c r="W71" t="n">
        <v>7695</v>
      </c>
      <c r="X71" t="n">
        <v>7822.166666666667</v>
      </c>
      <c r="Y71" t="n">
        <v>0</v>
      </c>
      <c r="Z71" t="n">
        <v>0</v>
      </c>
      <c r="AA71" t="n">
        <v>0</v>
      </c>
      <c r="AB71" t="n">
        <v>2191.639616936671</v>
      </c>
      <c r="AC71" t="n">
        <v>43.7</v>
      </c>
      <c r="AD71" t="n">
        <v>48.1</v>
      </c>
      <c r="AE71" t="n">
        <v>65.90000000000001</v>
      </c>
      <c r="AF71" t="n">
        <v>50.3</v>
      </c>
      <c r="AG71" t="inlineStr">
        <is>
          <t>C</t>
        </is>
      </c>
    </row>
    <row r="72">
      <c r="A72" t="inlineStr">
        <is>
          <t>A387570</t>
        </is>
      </c>
      <c r="B72" t="inlineStr">
        <is>
          <t>파인메딕스</t>
        </is>
      </c>
      <c r="C72" t="inlineStr"/>
      <c r="D72" t="inlineStr"/>
      <c r="E72" t="n">
        <v>0</v>
      </c>
      <c r="F72" t="n">
        <v>0</v>
      </c>
      <c r="G72" t="n">
        <v>0</v>
      </c>
      <c r="H72" t="n">
        <v>0.2</v>
      </c>
      <c r="I72" t="n">
        <v>-2.6</v>
      </c>
      <c r="J72" t="n">
        <v>-7.7</v>
      </c>
      <c r="K72" t="n">
        <v>6100</v>
      </c>
      <c r="L72" t="n">
        <v>20698</v>
      </c>
      <c r="M72" t="n">
        <v>1.262578</v>
      </c>
      <c r="N72" t="n">
        <v>16484</v>
      </c>
      <c r="O72" t="n">
        <v>1.255641834506188</v>
      </c>
      <c r="P72" t="n">
        <v>3.741295604763566</v>
      </c>
      <c r="Q72" t="n">
        <v>35.08946144908338</v>
      </c>
      <c r="R72" t="n">
        <v>25.0774555956964</v>
      </c>
      <c r="S72" t="n">
        <v>10</v>
      </c>
      <c r="T72" t="n">
        <v>-6.870229007633588</v>
      </c>
      <c r="U72" t="n">
        <v>-20.77922077922078</v>
      </c>
      <c r="V72" t="n">
        <v>6693</v>
      </c>
      <c r="W72" t="n">
        <v>6978.5</v>
      </c>
      <c r="X72" t="n">
        <v>6922</v>
      </c>
      <c r="Y72" t="n">
        <v>0</v>
      </c>
      <c r="Z72" t="n">
        <v>0</v>
      </c>
      <c r="AA72" t="n">
        <v>0</v>
      </c>
      <c r="AB72" t="n">
        <v>1628.652655935024</v>
      </c>
      <c r="AC72" t="n">
        <v>32.9</v>
      </c>
      <c r="AD72" t="n">
        <v>56.6</v>
      </c>
      <c r="AE72" t="n">
        <v>81.5</v>
      </c>
      <c r="AF72" t="n">
        <v>54.5</v>
      </c>
      <c r="AG72" t="inlineStr">
        <is>
          <t>C</t>
        </is>
      </c>
    </row>
    <row r="73">
      <c r="A73" t="inlineStr">
        <is>
          <t>A177900</t>
        </is>
      </c>
      <c r="B73" t="inlineStr">
        <is>
          <t>쓰리에이로직스</t>
        </is>
      </c>
      <c r="C73" t="inlineStr"/>
      <c r="D73" t="inlineStr"/>
      <c r="E73" t="n">
        <v>0</v>
      </c>
      <c r="F73" t="n">
        <v>-0.2</v>
      </c>
      <c r="G73" t="n">
        <v>0</v>
      </c>
      <c r="H73" t="n">
        <v>-0.7</v>
      </c>
      <c r="I73" t="n">
        <v>-42.4</v>
      </c>
      <c r="J73" t="n">
        <v>48.1</v>
      </c>
      <c r="K73" t="n">
        <v>5670</v>
      </c>
      <c r="L73" t="n">
        <v>114559</v>
      </c>
      <c r="M73" t="n">
        <v>6.4954953</v>
      </c>
      <c r="N73" t="n">
        <v>164498.7</v>
      </c>
      <c r="O73" t="n">
        <v>0.6964127983990146</v>
      </c>
      <c r="P73" t="n">
        <v>4.612928548939503</v>
      </c>
      <c r="Q73" t="n">
        <v>38.38422301905106</v>
      </c>
      <c r="R73" t="n">
        <v>51.35640682824942</v>
      </c>
      <c r="S73" t="n">
        <v>-13</v>
      </c>
      <c r="T73" t="n">
        <v>-4.705882352941182</v>
      </c>
      <c r="U73" t="n">
        <v>-22.85714285714286</v>
      </c>
      <c r="V73" t="n">
        <v>6194</v>
      </c>
      <c r="W73" t="n">
        <v>6680</v>
      </c>
      <c r="X73" t="n">
        <v>6479.333333333333</v>
      </c>
      <c r="Y73" t="n">
        <v>0</v>
      </c>
      <c r="Z73" t="n">
        <v>0</v>
      </c>
      <c r="AA73" t="n">
        <v>0</v>
      </c>
      <c r="AB73" t="n">
        <v>2475.479751482533</v>
      </c>
      <c r="AC73" t="n">
        <v>40.5</v>
      </c>
      <c r="AD73" t="n">
        <v>51.7</v>
      </c>
      <c r="AE73" t="n">
        <v>40</v>
      </c>
      <c r="AF73" t="n">
        <v>46</v>
      </c>
      <c r="AG73" t="inlineStr">
        <is>
          <t>D</t>
        </is>
      </c>
    </row>
    <row r="74">
      <c r="A74" t="inlineStr">
        <is>
          <t>A176750</t>
        </is>
      </c>
      <c r="B74" t="inlineStr">
        <is>
          <t>듀켐바이오</t>
        </is>
      </c>
      <c r="C74" t="inlineStr"/>
      <c r="D74" t="inlineStr"/>
      <c r="E74" t="n">
        <v>0</v>
      </c>
      <c r="F74" t="n">
        <v>-6.9</v>
      </c>
      <c r="G74" t="n">
        <v>-5.7</v>
      </c>
      <c r="H74" t="n">
        <v>5.1</v>
      </c>
      <c r="I74" t="n">
        <v>6.2</v>
      </c>
      <c r="J74" t="n">
        <v>-31.9</v>
      </c>
      <c r="K74" t="n">
        <v>6380</v>
      </c>
      <c r="L74" t="n">
        <v>40744</v>
      </c>
      <c r="M74" t="n">
        <v>2.5994672</v>
      </c>
      <c r="N74" t="n">
        <v>42680.45</v>
      </c>
      <c r="O74" t="n">
        <v>0.9546291100492146</v>
      </c>
      <c r="P74" t="n">
        <v>2.882224767157596</v>
      </c>
      <c r="Q74" t="n">
        <v>22.59628804846864</v>
      </c>
      <c r="R74" t="n">
        <v>13.37218032775697</v>
      </c>
      <c r="S74" t="n">
        <v>9.199999999999999</v>
      </c>
      <c r="T74" t="n">
        <v>-0.7776049766718529</v>
      </c>
      <c r="U74" t="n">
        <v>-29.42477876106195</v>
      </c>
      <c r="V74" t="n">
        <v>7272</v>
      </c>
      <c r="W74" t="n">
        <v>8034.5</v>
      </c>
      <c r="X74" t="n">
        <v>8836.166666666666</v>
      </c>
      <c r="Y74" t="n">
        <v>0</v>
      </c>
      <c r="Z74" t="n">
        <v>0</v>
      </c>
      <c r="AA74" t="n">
        <v>0</v>
      </c>
      <c r="AB74" t="n">
        <v>3588.131899236119</v>
      </c>
      <c r="AC74" t="n">
        <v>32.6</v>
      </c>
      <c r="AD74" t="n">
        <v>53.5</v>
      </c>
      <c r="AE74" t="n">
        <v>64.40000000000001</v>
      </c>
      <c r="AF74" t="n">
        <v>49.4</v>
      </c>
      <c r="AG74" t="inlineStr">
        <is>
          <t>D</t>
        </is>
      </c>
    </row>
    <row r="75">
      <c r="A75" t="inlineStr">
        <is>
          <t>A476060</t>
        </is>
      </c>
      <c r="B75" t="inlineStr">
        <is>
          <t>온코닉테라퓨틱스</t>
        </is>
      </c>
      <c r="C75" t="inlineStr"/>
      <c r="D75" t="inlineStr"/>
      <c r="E75" t="n">
        <v>-139.6</v>
      </c>
      <c r="F75" t="n">
        <v>-451.6</v>
      </c>
      <c r="G75" t="n">
        <v>39.3</v>
      </c>
      <c r="H75" t="n">
        <v>6.6</v>
      </c>
      <c r="I75" t="n">
        <v>-120.3</v>
      </c>
      <c r="J75" t="n">
        <v>-1449.8</v>
      </c>
      <c r="K75" t="n">
        <v>17390</v>
      </c>
      <c r="L75" t="n">
        <v>446683</v>
      </c>
      <c r="M75" t="n">
        <v>77.6781737</v>
      </c>
      <c r="N75" t="n">
        <v>533545.85</v>
      </c>
      <c r="O75" t="n">
        <v>0.8371970281466907</v>
      </c>
      <c r="P75" t="n">
        <v>4.101794967585192</v>
      </c>
      <c r="Q75" t="n">
        <v>36.67744858020087</v>
      </c>
      <c r="R75" t="n">
        <v>21.93450152474004</v>
      </c>
      <c r="S75" t="n">
        <v>14.7</v>
      </c>
      <c r="T75" t="n">
        <v>-1.249290176036344</v>
      </c>
      <c r="U75" t="n">
        <v>-18.16470588235294</v>
      </c>
      <c r="V75" t="n">
        <v>19334</v>
      </c>
      <c r="W75" t="n">
        <v>20081</v>
      </c>
      <c r="X75" t="n">
        <v>21548.66666666667</v>
      </c>
      <c r="Y75" t="n">
        <v>0</v>
      </c>
      <c r="Z75" t="n">
        <v>0</v>
      </c>
      <c r="AA75" t="n">
        <v>0</v>
      </c>
      <c r="AB75" t="n">
        <v>5001.623315432073</v>
      </c>
      <c r="AC75" t="n">
        <v>51.7</v>
      </c>
      <c r="AD75" t="n">
        <v>28.4</v>
      </c>
      <c r="AE75" t="n">
        <v>58.5</v>
      </c>
      <c r="AF75" t="n">
        <v>41.4</v>
      </c>
      <c r="AG75" t="inlineStr">
        <is>
          <t>D</t>
        </is>
      </c>
    </row>
    <row r="76">
      <c r="A76" t="inlineStr">
        <is>
          <t>A382150</t>
        </is>
      </c>
      <c r="B76" t="inlineStr">
        <is>
          <t>온코크로스</t>
        </is>
      </c>
      <c r="C76" t="inlineStr"/>
      <c r="D76" t="inlineStr"/>
      <c r="E76" t="n">
        <v>0</v>
      </c>
      <c r="F76" t="n">
        <v>0</v>
      </c>
      <c r="G76" t="n">
        <v>-0.5</v>
      </c>
      <c r="H76" t="n">
        <v>1.5</v>
      </c>
      <c r="I76" t="n">
        <v>6.7</v>
      </c>
      <c r="J76" t="n">
        <v>41.7</v>
      </c>
      <c r="K76" t="n">
        <v>5440</v>
      </c>
      <c r="L76" t="n">
        <v>86753</v>
      </c>
      <c r="M76" t="n">
        <v>4.7193632</v>
      </c>
      <c r="N76" t="n">
        <v>106249.6</v>
      </c>
      <c r="O76" t="n">
        <v>0.8165018974189079</v>
      </c>
      <c r="P76" t="n">
        <v>4.803978329899483</v>
      </c>
      <c r="Q76" t="n">
        <v>31.82429988682829</v>
      </c>
      <c r="R76" t="n">
        <v>17.012861590338</v>
      </c>
      <c r="S76" t="n">
        <v>14.8</v>
      </c>
      <c r="T76" t="n">
        <v>-0.910746812386154</v>
      </c>
      <c r="U76" t="n">
        <v>-36</v>
      </c>
      <c r="V76" t="n">
        <v>6377</v>
      </c>
      <c r="W76" t="n">
        <v>6860.5</v>
      </c>
      <c r="X76" t="n">
        <v>7345.166666666667</v>
      </c>
      <c r="Y76" t="n">
        <v>0</v>
      </c>
      <c r="Z76" t="n">
        <v>0</v>
      </c>
      <c r="AA76" t="n">
        <v>0</v>
      </c>
      <c r="AB76" t="n">
        <v>3022.149113322819</v>
      </c>
      <c r="AC76" t="n">
        <v>31.9</v>
      </c>
      <c r="AD76" t="n">
        <v>60.1</v>
      </c>
      <c r="AE76" t="n">
        <v>57</v>
      </c>
      <c r="AF76" t="n">
        <v>51</v>
      </c>
      <c r="AG76" t="inlineStr">
        <is>
          <t>C</t>
        </is>
      </c>
    </row>
    <row r="77">
      <c r="A77" t="inlineStr">
        <is>
          <t>A484870</t>
        </is>
      </c>
      <c r="B77" t="inlineStr">
        <is>
          <t>엠앤씨솔루션</t>
        </is>
      </c>
      <c r="C77" t="inlineStr"/>
      <c r="D77" t="inlineStr"/>
      <c r="E77" t="n">
        <v>-70.59999999999999</v>
      </c>
      <c r="F77" t="n">
        <v>-281.6</v>
      </c>
      <c r="G77" t="n">
        <v>-706.1</v>
      </c>
      <c r="H77" t="n">
        <v>69.09999999999999</v>
      </c>
      <c r="I77" t="n">
        <v>39.2</v>
      </c>
      <c r="J77" t="n">
        <v>-92.59999999999999</v>
      </c>
      <c r="K77" t="n">
        <v>67400</v>
      </c>
      <c r="L77" t="n">
        <v>54286</v>
      </c>
      <c r="M77" t="n">
        <v>36.588764</v>
      </c>
      <c r="N77" t="n">
        <v>24388.75</v>
      </c>
      <c r="O77" t="n">
        <v>2.225862334067962</v>
      </c>
      <c r="P77" t="n">
        <v>3.582595945821549</v>
      </c>
      <c r="Q77" t="n">
        <v>23.45616790133201</v>
      </c>
      <c r="R77" t="n">
        <v>14.54810017013454</v>
      </c>
      <c r="S77" t="n">
        <v>8.9</v>
      </c>
      <c r="T77" t="n">
        <v>-7.544581618655688</v>
      </c>
      <c r="U77" t="n">
        <v>-41.59445407279029</v>
      </c>
      <c r="V77" t="n">
        <v>79120</v>
      </c>
      <c r="W77" t="n">
        <v>91335</v>
      </c>
      <c r="X77" t="n">
        <v>107186.6666666667</v>
      </c>
      <c r="Y77" t="n">
        <v>0</v>
      </c>
      <c r="Z77" t="n">
        <v>0</v>
      </c>
      <c r="AA77" t="n">
        <v>0</v>
      </c>
      <c r="AB77" t="n">
        <v>58468.20458478625</v>
      </c>
      <c r="AC77" t="n">
        <v>4.5</v>
      </c>
      <c r="AD77" t="n">
        <v>40.6</v>
      </c>
      <c r="AE77" t="n">
        <v>95.59999999999999</v>
      </c>
      <c r="AF77" t="n">
        <v>40.8</v>
      </c>
      <c r="AG77" t="inlineStr">
        <is>
          <t>D</t>
        </is>
      </c>
    </row>
    <row r="78">
      <c r="A78" t="inlineStr">
        <is>
          <t>A457600</t>
        </is>
      </c>
      <c r="B78" t="inlineStr">
        <is>
          <t>벡트</t>
        </is>
      </c>
      <c r="C78" t="inlineStr"/>
      <c r="D78" t="inlineStr"/>
      <c r="E78" t="n">
        <v>0</v>
      </c>
      <c r="F78" t="n">
        <v>-0.1</v>
      </c>
      <c r="G78" t="n">
        <v>-0.2</v>
      </c>
      <c r="H78" t="n">
        <v>-1.1</v>
      </c>
      <c r="I78" t="n">
        <v>-1.2</v>
      </c>
      <c r="J78" t="n">
        <v>-2.5</v>
      </c>
      <c r="K78" t="n">
        <v>1570</v>
      </c>
      <c r="L78" t="n">
        <v>52783</v>
      </c>
      <c r="M78" t="n">
        <v>0.8286931</v>
      </c>
      <c r="N78" t="n">
        <v>46315.5</v>
      </c>
      <c r="O78" t="n">
        <v>1.139640077295938</v>
      </c>
      <c r="P78" t="n">
        <v>3.549240022845368</v>
      </c>
      <c r="Q78" t="n">
        <v>33.6300383228185</v>
      </c>
      <c r="R78" t="n">
        <v>48.41425794283257</v>
      </c>
      <c r="S78" t="n">
        <v>-14.8</v>
      </c>
      <c r="T78" t="n">
        <v>2.815979043876893</v>
      </c>
      <c r="U78" t="n">
        <v>-30.53097345132743</v>
      </c>
      <c r="V78" t="n">
        <v>1666.9</v>
      </c>
      <c r="W78" t="n">
        <v>1852.75</v>
      </c>
      <c r="X78" t="n">
        <v>2047.066666666667</v>
      </c>
      <c r="Y78" t="n">
        <v>0</v>
      </c>
      <c r="Z78" t="n">
        <v>0</v>
      </c>
      <c r="AA78" t="n">
        <v>0</v>
      </c>
      <c r="AB78" t="n">
        <v>925.6229765605599</v>
      </c>
      <c r="AC78" t="n">
        <v>45.3</v>
      </c>
      <c r="AD78" t="n">
        <v>53.8</v>
      </c>
      <c r="AE78" t="n">
        <v>77</v>
      </c>
      <c r="AF78" t="n">
        <v>55.9</v>
      </c>
      <c r="AG78" t="inlineStr">
        <is>
          <t>C</t>
        </is>
      </c>
    </row>
    <row r="79">
      <c r="A79" t="inlineStr">
        <is>
          <t>A415640</t>
        </is>
      </c>
      <c r="B79" t="inlineStr">
        <is>
          <t>KB발해인프라</t>
        </is>
      </c>
      <c r="C79" t="inlineStr"/>
      <c r="D79" t="inlineStr"/>
      <c r="E79" t="n">
        <v>-35.6</v>
      </c>
      <c r="F79" t="n">
        <v>7.4</v>
      </c>
      <c r="G79" t="n">
        <v>48.9</v>
      </c>
      <c r="H79" t="n">
        <v>-15.2</v>
      </c>
      <c r="I79" t="n">
        <v>3.7</v>
      </c>
      <c r="J79" t="n">
        <v>-105.5</v>
      </c>
      <c r="K79" t="n">
        <v>9790</v>
      </c>
      <c r="L79" t="n">
        <v>100288</v>
      </c>
      <c r="M79" t="n">
        <v>9.8181952</v>
      </c>
      <c r="N79" t="n">
        <v>113471</v>
      </c>
      <c r="O79" t="n">
        <v>0.8838205356434684</v>
      </c>
      <c r="P79" t="n">
        <v>1.080885727490313</v>
      </c>
      <c r="Q79" t="n">
        <v>45.38455675538486</v>
      </c>
      <c r="R79" t="n">
        <v>24.27979984231969</v>
      </c>
      <c r="S79" t="n">
        <v>21.1</v>
      </c>
      <c r="T79" t="n">
        <v>1.240951396070322</v>
      </c>
      <c r="U79" t="n">
        <v>-3.069306930693069</v>
      </c>
      <c r="V79" t="n">
        <v>9932</v>
      </c>
      <c r="W79" t="n">
        <v>9932.5</v>
      </c>
      <c r="X79" t="n">
        <v>9952.5</v>
      </c>
      <c r="Y79" t="n">
        <v>0</v>
      </c>
      <c r="Z79" t="n">
        <v>0</v>
      </c>
      <c r="AA79" t="n">
        <v>0</v>
      </c>
      <c r="AB79" t="n">
        <v>442.7426483089002</v>
      </c>
      <c r="AC79" t="n">
        <v>68.40000000000001</v>
      </c>
      <c r="AD79" t="n">
        <v>47.2</v>
      </c>
      <c r="AE79" t="n">
        <v>62.2</v>
      </c>
      <c r="AF79" t="n">
        <v>56.6</v>
      </c>
      <c r="AG79" t="inlineStr">
        <is>
          <t>C</t>
        </is>
      </c>
    </row>
    <row r="80">
      <c r="A80" t="inlineStr">
        <is>
          <t>A459100</t>
        </is>
      </c>
      <c r="B80" t="inlineStr">
        <is>
          <t>위츠</t>
        </is>
      </c>
      <c r="C80" t="inlineStr"/>
      <c r="D80" t="inlineStr"/>
      <c r="E80" t="n">
        <v>0</v>
      </c>
      <c r="F80" t="n">
        <v>0</v>
      </c>
      <c r="G80" t="n">
        <v>-0.1</v>
      </c>
      <c r="H80" t="n">
        <v>-5.5</v>
      </c>
      <c r="I80" t="n">
        <v>-42.6</v>
      </c>
      <c r="J80" t="n">
        <v>14.1</v>
      </c>
      <c r="K80" t="n">
        <v>5360</v>
      </c>
      <c r="L80" t="n">
        <v>84849</v>
      </c>
      <c r="M80" t="n">
        <v>4.5479064</v>
      </c>
      <c r="N80" t="n">
        <v>314887.75</v>
      </c>
      <c r="O80" t="n">
        <v>0.2694579258799366</v>
      </c>
      <c r="P80" t="n">
        <v>5.180526393038052</v>
      </c>
      <c r="Q80" t="n">
        <v>38.85232129764449</v>
      </c>
      <c r="R80" t="n">
        <v>61.95958520186764</v>
      </c>
      <c r="S80" t="n">
        <v>-23.1</v>
      </c>
      <c r="T80" t="n">
        <v>-6.457242582897038</v>
      </c>
      <c r="U80" t="n">
        <v>-15.18987341772152</v>
      </c>
      <c r="V80" t="n">
        <v>6114</v>
      </c>
      <c r="W80" t="n">
        <v>6434</v>
      </c>
      <c r="X80" t="n">
        <v>6114.5</v>
      </c>
      <c r="Y80" t="n">
        <v>0</v>
      </c>
      <c r="Z80" t="n">
        <v>0</v>
      </c>
      <c r="AA80" t="n">
        <v>0</v>
      </c>
      <c r="AB80" t="n">
        <v>2272.300943745653</v>
      </c>
      <c r="AC80" t="n">
        <v>42.5</v>
      </c>
      <c r="AD80" t="n">
        <v>49.4</v>
      </c>
      <c r="AE80" t="n">
        <v>5.9</v>
      </c>
      <c r="AF80" t="n">
        <v>38.6</v>
      </c>
      <c r="AG80" t="inlineStr">
        <is>
          <t>D</t>
        </is>
      </c>
    </row>
    <row r="81">
      <c r="A81" t="inlineStr">
        <is>
          <t>A466410</t>
        </is>
      </c>
      <c r="B81" t="inlineStr">
        <is>
          <t>사이냅소프트</t>
        </is>
      </c>
      <c r="C81" t="inlineStr"/>
      <c r="D81" t="inlineStr"/>
      <c r="E81" t="n">
        <v>0</v>
      </c>
      <c r="F81" t="n">
        <v>-0.1</v>
      </c>
      <c r="G81" t="n">
        <v>-7.8</v>
      </c>
      <c r="H81" t="n">
        <v>-2.4</v>
      </c>
      <c r="I81" t="n">
        <v>-1.9</v>
      </c>
      <c r="J81" t="n">
        <v>-39.8</v>
      </c>
      <c r="K81" t="n">
        <v>10080</v>
      </c>
      <c r="L81" t="n">
        <v>39144</v>
      </c>
      <c r="M81" t="n">
        <v>3.9457152</v>
      </c>
      <c r="N81" t="n">
        <v>31104.45</v>
      </c>
      <c r="O81" t="n">
        <v>1.258469447297734</v>
      </c>
      <c r="P81" t="n">
        <v>1.891421218944947</v>
      </c>
      <c r="Q81" t="n">
        <v>38.50273029722111</v>
      </c>
      <c r="R81" t="n">
        <v>16.27169141260437</v>
      </c>
      <c r="S81" t="n">
        <v>22.2</v>
      </c>
      <c r="T81" t="n">
        <v>-0.8849557522123908</v>
      </c>
      <c r="U81" t="n">
        <v>-14.72081218274112</v>
      </c>
      <c r="V81" t="n">
        <v>10269</v>
      </c>
      <c r="W81" t="n">
        <v>10667</v>
      </c>
      <c r="X81" t="n">
        <v>11159.16666666667</v>
      </c>
      <c r="Y81" t="n">
        <v>0</v>
      </c>
      <c r="Z81" t="n">
        <v>0</v>
      </c>
      <c r="AA81" t="n">
        <v>0</v>
      </c>
      <c r="AB81" t="n">
        <v>1923.772609388016</v>
      </c>
      <c r="AC81" t="n">
        <v>56.8</v>
      </c>
      <c r="AD81" t="n">
        <v>49.5</v>
      </c>
      <c r="AE81" t="n">
        <v>82.2</v>
      </c>
      <c r="AF81" t="n">
        <v>58.2</v>
      </c>
      <c r="AG81" t="inlineStr">
        <is>
          <t>C</t>
        </is>
      </c>
    </row>
    <row r="82">
      <c r="A82" t="inlineStr">
        <is>
          <t>A475660</t>
        </is>
      </c>
      <c r="B82" t="inlineStr">
        <is>
          <t>에스켐</t>
        </is>
      </c>
      <c r="C82" t="inlineStr"/>
      <c r="D82" t="inlineStr"/>
      <c r="E82" t="n">
        <v>0</v>
      </c>
      <c r="F82" t="n">
        <v>0</v>
      </c>
      <c r="G82" t="n">
        <v>-0.9</v>
      </c>
      <c r="H82" t="n">
        <v>-3.6</v>
      </c>
      <c r="I82" t="n">
        <v>-10</v>
      </c>
      <c r="J82" t="n">
        <v>-32</v>
      </c>
      <c r="K82" t="n">
        <v>4200</v>
      </c>
      <c r="L82" t="n">
        <v>74020</v>
      </c>
      <c r="M82" t="n">
        <v>3.10884</v>
      </c>
      <c r="N82" t="n">
        <v>28930.05</v>
      </c>
      <c r="O82" t="n">
        <v>2.558585277246324</v>
      </c>
      <c r="P82" t="n">
        <v>4.477682760596664</v>
      </c>
      <c r="Q82" t="n">
        <v>39.02639717136243</v>
      </c>
      <c r="R82" t="n">
        <v>38.84554677432273</v>
      </c>
      <c r="S82" t="n">
        <v>0.2</v>
      </c>
      <c r="T82" t="n">
        <v>-12.95336787564767</v>
      </c>
      <c r="U82" t="n">
        <v>-19.23076923076923</v>
      </c>
      <c r="V82" t="n">
        <v>4462.5</v>
      </c>
      <c r="W82" t="n">
        <v>4692.75</v>
      </c>
      <c r="X82" t="n">
        <v>5259.583333333333</v>
      </c>
      <c r="Y82" t="n">
        <v>0</v>
      </c>
      <c r="Z82" t="n">
        <v>0</v>
      </c>
      <c r="AA82" t="n">
        <v>0</v>
      </c>
      <c r="AB82" t="n">
        <v>1284.162229462829</v>
      </c>
      <c r="AC82" t="n">
        <v>34.7</v>
      </c>
      <c r="AD82" t="n">
        <v>49.5</v>
      </c>
      <c r="AE82" t="n">
        <v>97.8</v>
      </c>
      <c r="AF82" t="n">
        <v>54.7</v>
      </c>
      <c r="AG82" t="inlineStr">
        <is>
          <t>C</t>
        </is>
      </c>
    </row>
    <row r="83">
      <c r="A83" t="inlineStr">
        <is>
          <t>A413390</t>
        </is>
      </c>
      <c r="B83" t="inlineStr">
        <is>
          <t>엠오티</t>
        </is>
      </c>
      <c r="C83" t="inlineStr"/>
      <c r="D83" t="inlineStr"/>
      <c r="E83" t="n">
        <v>0</v>
      </c>
      <c r="F83" t="n">
        <v>0</v>
      </c>
      <c r="G83" t="n">
        <v>-0.1</v>
      </c>
      <c r="H83" t="n">
        <v>-1</v>
      </c>
      <c r="I83" t="n">
        <v>-13.3</v>
      </c>
      <c r="J83" t="n">
        <v>-172</v>
      </c>
      <c r="K83" t="n">
        <v>6850</v>
      </c>
      <c r="L83" t="n">
        <v>90606</v>
      </c>
      <c r="M83" t="n">
        <v>6.206511</v>
      </c>
      <c r="N83" t="n">
        <v>122554.15</v>
      </c>
      <c r="O83" t="n">
        <v>0.7393140093583123</v>
      </c>
      <c r="P83" t="n">
        <v>3.452704030997855</v>
      </c>
      <c r="Q83" t="n">
        <v>32.4067141927376</v>
      </c>
      <c r="R83" t="n">
        <v>40.67546260886002</v>
      </c>
      <c r="S83" t="n">
        <v>-8.300000000000001</v>
      </c>
      <c r="T83" t="n">
        <v>-1.862464183381085</v>
      </c>
      <c r="U83" t="n">
        <v>-25.38126361655774</v>
      </c>
      <c r="V83" t="n">
        <v>7394</v>
      </c>
      <c r="W83" t="n">
        <v>8062</v>
      </c>
      <c r="X83" t="n">
        <v>8350.666666666666</v>
      </c>
      <c r="Y83" t="n">
        <v>0</v>
      </c>
      <c r="Z83" t="n">
        <v>0</v>
      </c>
      <c r="AA83" t="n">
        <v>0</v>
      </c>
      <c r="AB83" t="n">
        <v>3291.497179736074</v>
      </c>
      <c r="AC83" t="n">
        <v>40.1</v>
      </c>
      <c r="AD83" t="n">
        <v>48.4</v>
      </c>
      <c r="AE83" t="n">
        <v>48.1</v>
      </c>
      <c r="AF83" t="n">
        <v>45.8</v>
      </c>
      <c r="AG83" t="inlineStr">
        <is>
          <t>D</t>
        </is>
      </c>
    </row>
    <row r="84">
      <c r="A84" t="inlineStr">
        <is>
          <t>A394800</t>
        </is>
      </c>
      <c r="B84" t="inlineStr">
        <is>
          <t>쓰리빌리언</t>
        </is>
      </c>
      <c r="C84" t="inlineStr"/>
      <c r="D84" t="inlineStr"/>
      <c r="E84" t="n">
        <v>-40.3</v>
      </c>
      <c r="F84" t="n">
        <v>-36.7</v>
      </c>
      <c r="G84" t="n">
        <v>-37.4</v>
      </c>
      <c r="H84" t="n">
        <v>64.2</v>
      </c>
      <c r="I84" t="n">
        <v>58.7</v>
      </c>
      <c r="J84" t="n">
        <v>-273.1</v>
      </c>
      <c r="K84" t="n">
        <v>8400</v>
      </c>
      <c r="L84" t="n">
        <v>387025</v>
      </c>
      <c r="M84" t="n">
        <v>32.5101</v>
      </c>
      <c r="N84" t="n">
        <v>228514.15</v>
      </c>
      <c r="O84" t="n">
        <v>1.693658795308737</v>
      </c>
      <c r="P84" t="n">
        <v>4.432392358702677</v>
      </c>
      <c r="Q84" t="n">
        <v>32.26768518942867</v>
      </c>
      <c r="R84" t="n">
        <v>9.848744252483746</v>
      </c>
      <c r="S84" t="n">
        <v>22.4</v>
      </c>
      <c r="T84" t="n">
        <v>0</v>
      </c>
      <c r="U84" t="n">
        <v>-37.82383419689119</v>
      </c>
      <c r="V84" t="n">
        <v>9312</v>
      </c>
      <c r="W84" t="n">
        <v>10323.5</v>
      </c>
      <c r="X84" t="n">
        <v>12121</v>
      </c>
      <c r="Y84" t="n">
        <v>0</v>
      </c>
      <c r="Z84" t="n">
        <v>0</v>
      </c>
      <c r="AA84" t="n">
        <v>0</v>
      </c>
      <c r="AB84" t="n">
        <v>5156.257720887359</v>
      </c>
      <c r="AC84" t="n">
        <v>32.2</v>
      </c>
      <c r="AD84" t="n">
        <v>47</v>
      </c>
      <c r="AE84" t="n">
        <v>91.09999999999999</v>
      </c>
      <c r="AF84" t="n">
        <v>51.4</v>
      </c>
      <c r="AG84" t="inlineStr">
        <is>
          <t>C</t>
        </is>
      </c>
    </row>
    <row r="85">
      <c r="A85" t="inlineStr">
        <is>
          <t>A464580</t>
        </is>
      </c>
      <c r="B85" t="inlineStr">
        <is>
          <t>닷밀</t>
        </is>
      </c>
      <c r="C85" t="inlineStr"/>
      <c r="D85" t="inlineStr"/>
      <c r="E85" t="n">
        <v>0</v>
      </c>
      <c r="F85" t="n">
        <v>0</v>
      </c>
      <c r="G85" t="n">
        <v>-0.3</v>
      </c>
      <c r="H85" t="n">
        <v>-0.2</v>
      </c>
      <c r="I85" t="n">
        <v>-2.3</v>
      </c>
      <c r="J85" t="n">
        <v>-22.3</v>
      </c>
      <c r="K85" t="n">
        <v>1695</v>
      </c>
      <c r="L85" t="n">
        <v>48919</v>
      </c>
      <c r="M85" t="n">
        <v>0.82917705</v>
      </c>
      <c r="N85" t="n">
        <v>67611.8</v>
      </c>
      <c r="O85" t="n">
        <v>0.7235275499247172</v>
      </c>
      <c r="P85" t="n">
        <v>2.663497758953044</v>
      </c>
      <c r="Q85" t="n">
        <v>37.3372833891177</v>
      </c>
      <c r="R85" t="n">
        <v>9.54673208863265</v>
      </c>
      <c r="S85" t="n">
        <v>27.8</v>
      </c>
      <c r="T85" t="n">
        <v>3.290676416819016</v>
      </c>
      <c r="U85" t="n">
        <v>-20.04716981132076</v>
      </c>
      <c r="V85" t="n">
        <v>1756.8</v>
      </c>
      <c r="W85" t="n">
        <v>1887.9</v>
      </c>
      <c r="X85" t="n">
        <v>2030.05</v>
      </c>
      <c r="Y85" t="n">
        <v>0</v>
      </c>
      <c r="Z85" t="n">
        <v>0</v>
      </c>
      <c r="AA85" t="n">
        <v>0</v>
      </c>
      <c r="AB85" t="n">
        <v>659.1987480826162</v>
      </c>
      <c r="AC85" t="n">
        <v>58.6</v>
      </c>
      <c r="AD85" t="n">
        <v>54.5</v>
      </c>
      <c r="AE85" t="n">
        <v>45.2</v>
      </c>
      <c r="AF85" t="n">
        <v>53.9</v>
      </c>
      <c r="AG85" t="inlineStr">
        <is>
          <t>C</t>
        </is>
      </c>
    </row>
    <row r="86">
      <c r="A86" t="inlineStr">
        <is>
          <t>A473980</t>
        </is>
      </c>
      <c r="B86" t="inlineStr">
        <is>
          <t>노머스</t>
        </is>
      </c>
      <c r="C86" t="inlineStr"/>
      <c r="D86" t="inlineStr"/>
      <c r="E86" t="n">
        <v>13</v>
      </c>
      <c r="F86" t="n">
        <v>107.6</v>
      </c>
      <c r="G86" t="n">
        <v>375</v>
      </c>
      <c r="H86" t="n">
        <v>1.8</v>
      </c>
      <c r="I86" t="n">
        <v>-12</v>
      </c>
      <c r="J86" t="n">
        <v>-59.1</v>
      </c>
      <c r="K86" t="n">
        <v>14060</v>
      </c>
      <c r="L86" t="n">
        <v>96221</v>
      </c>
      <c r="M86" t="n">
        <v>13.5286726</v>
      </c>
      <c r="N86" t="n">
        <v>68319.25</v>
      </c>
      <c r="O86" t="n">
        <v>1.408402463434537</v>
      </c>
      <c r="P86" t="n">
        <v>3.506282089941196</v>
      </c>
      <c r="Q86" t="n">
        <v>38.92755708798221</v>
      </c>
      <c r="R86" t="n">
        <v>20.73276030851586</v>
      </c>
      <c r="S86" t="n">
        <v>18.2</v>
      </c>
      <c r="T86" t="n">
        <v>6.35400907715582</v>
      </c>
      <c r="U86" t="n">
        <v>-20.33994334277621</v>
      </c>
      <c r="V86" t="n">
        <v>14591</v>
      </c>
      <c r="W86" t="n">
        <v>15750</v>
      </c>
      <c r="X86" t="n">
        <v>17218.83333333333</v>
      </c>
      <c r="Y86" t="n">
        <v>0</v>
      </c>
      <c r="Z86" t="n">
        <v>0</v>
      </c>
      <c r="AA86" t="n">
        <v>0</v>
      </c>
      <c r="AB86" t="n">
        <v>5461.150833025255</v>
      </c>
      <c r="AC86" t="n">
        <v>61.7</v>
      </c>
      <c r="AD86" t="n">
        <v>68.09999999999999</v>
      </c>
      <c r="AE86" t="n">
        <v>85.90000000000001</v>
      </c>
      <c r="AF86" t="n">
        <v>69.7</v>
      </c>
      <c r="AG86" t="inlineStr">
        <is>
          <t>B</t>
        </is>
      </c>
    </row>
    <row r="87">
      <c r="A87" t="inlineStr">
        <is>
          <t>A163280</t>
        </is>
      </c>
      <c r="B87" t="inlineStr">
        <is>
          <t>에어레인</t>
        </is>
      </c>
      <c r="C87" t="inlineStr"/>
      <c r="D87" t="inlineStr"/>
      <c r="E87" t="n">
        <v>-1.7</v>
      </c>
      <c r="F87" t="n">
        <v>-4.7</v>
      </c>
      <c r="G87" t="n">
        <v>-2.6</v>
      </c>
      <c r="H87" t="n">
        <v>10.1</v>
      </c>
      <c r="I87" t="n">
        <v>9.199999999999999</v>
      </c>
      <c r="J87" t="n">
        <v>-108.6</v>
      </c>
      <c r="K87" t="n">
        <v>4555</v>
      </c>
      <c r="L87" t="n">
        <v>107452</v>
      </c>
      <c r="M87" t="n">
        <v>4.8944386</v>
      </c>
      <c r="N87" t="n">
        <v>117886</v>
      </c>
      <c r="O87" t="n">
        <v>0.9114907622618462</v>
      </c>
      <c r="P87" t="n">
        <v>3.367091615532254</v>
      </c>
      <c r="Q87" t="n">
        <v>32.92091593582702</v>
      </c>
      <c r="R87" t="n">
        <v>16.46702623268163</v>
      </c>
      <c r="S87" t="n">
        <v>16.5</v>
      </c>
      <c r="T87" t="n">
        <v>1.222222222222213</v>
      </c>
      <c r="U87" t="n">
        <v>-25.5718954248366</v>
      </c>
      <c r="V87" t="n">
        <v>4916</v>
      </c>
      <c r="W87" t="n">
        <v>5317.5</v>
      </c>
      <c r="X87" t="n">
        <v>5871.833333333333</v>
      </c>
      <c r="Y87" t="n">
        <v>0</v>
      </c>
      <c r="Z87" t="n">
        <v>0</v>
      </c>
      <c r="AA87" t="n">
        <v>0</v>
      </c>
      <c r="AB87" t="n">
        <v>2013.935659872304</v>
      </c>
      <c r="AC87" t="n">
        <v>47</v>
      </c>
      <c r="AD87" t="n">
        <v>50.3</v>
      </c>
      <c r="AE87" t="n">
        <v>63</v>
      </c>
      <c r="AF87" t="n">
        <v>51.8</v>
      </c>
      <c r="AG87" t="inlineStr">
        <is>
          <t>C</t>
        </is>
      </c>
    </row>
    <row r="88">
      <c r="A88" t="inlineStr">
        <is>
          <t>A475960</t>
        </is>
      </c>
      <c r="B88" t="inlineStr">
        <is>
          <t>토모큐브</t>
        </is>
      </c>
      <c r="C88" t="inlineStr"/>
      <c r="D88" t="inlineStr"/>
      <c r="E88" t="n">
        <v>-67.7</v>
      </c>
      <c r="F88" t="n">
        <v>-310.3</v>
      </c>
      <c r="G88" t="n">
        <v>-196.8</v>
      </c>
      <c r="H88" t="n">
        <v>-21.8</v>
      </c>
      <c r="I88" t="n">
        <v>-288.1</v>
      </c>
      <c r="J88" t="n">
        <v>-1296.2</v>
      </c>
      <c r="K88" t="n">
        <v>40800</v>
      </c>
      <c r="L88" t="n">
        <v>102771</v>
      </c>
      <c r="M88" t="n">
        <v>41.930568</v>
      </c>
      <c r="N88" t="n">
        <v>137648.2</v>
      </c>
      <c r="O88" t="n">
        <v>0.7466207331443491</v>
      </c>
      <c r="P88" t="n">
        <v>4.046049382616904</v>
      </c>
      <c r="Q88" t="n">
        <v>35.01647942555658</v>
      </c>
      <c r="R88" t="n">
        <v>57.72136886076876</v>
      </c>
      <c r="S88" t="n">
        <v>-22.7</v>
      </c>
      <c r="T88" t="n">
        <v>-3.202846975088969</v>
      </c>
      <c r="U88" t="n">
        <v>-26.88172043010752</v>
      </c>
      <c r="V88" t="n">
        <v>44375</v>
      </c>
      <c r="W88" t="n">
        <v>49042.5</v>
      </c>
      <c r="X88" t="n">
        <v>53000.83333333334</v>
      </c>
      <c r="Y88" t="n">
        <v>0</v>
      </c>
      <c r="Z88" t="n">
        <v>0</v>
      </c>
      <c r="AA88" t="n">
        <v>0</v>
      </c>
      <c r="AB88" t="n">
        <v>23753.76092105701</v>
      </c>
      <c r="AC88" t="n">
        <v>38.2</v>
      </c>
      <c r="AD88" t="n">
        <v>12.4</v>
      </c>
      <c r="AE88" t="n">
        <v>48.9</v>
      </c>
      <c r="AF88" t="n">
        <v>27.4</v>
      </c>
      <c r="AG88" t="inlineStr">
        <is>
          <t>F</t>
        </is>
      </c>
    </row>
    <row r="89">
      <c r="A89" t="inlineStr">
        <is>
          <t>A475560</t>
        </is>
      </c>
      <c r="B89" t="inlineStr">
        <is>
          <t>더본코리아</t>
        </is>
      </c>
      <c r="C89" t="inlineStr"/>
      <c r="D89" t="inlineStr"/>
      <c r="E89" t="n">
        <v>-0.1</v>
      </c>
      <c r="F89" t="n">
        <v>-2</v>
      </c>
      <c r="G89" t="n">
        <v>-28</v>
      </c>
      <c r="H89" t="n">
        <v>-7.4</v>
      </c>
      <c r="I89" t="n">
        <v>-9</v>
      </c>
      <c r="J89" t="n">
        <v>-34.5</v>
      </c>
      <c r="K89" t="n">
        <v>16340</v>
      </c>
      <c r="L89" t="n">
        <v>27400</v>
      </c>
      <c r="M89" t="n">
        <v>4.47716</v>
      </c>
      <c r="N89" t="n">
        <v>19847.4</v>
      </c>
      <c r="O89" t="n">
        <v>1.380533470378992</v>
      </c>
      <c r="P89" t="n">
        <v>1.337598638505694</v>
      </c>
      <c r="Q89" t="n">
        <v>17.3564627523262</v>
      </c>
      <c r="R89" t="n">
        <v>7.691089526816326</v>
      </c>
      <c r="S89" t="n">
        <v>9.699999999999999</v>
      </c>
      <c r="T89" t="n">
        <v>-1.089588377723971</v>
      </c>
      <c r="U89" t="n">
        <v>-21.81818181818182</v>
      </c>
      <c r="V89" t="n">
        <v>17649</v>
      </c>
      <c r="W89" t="n">
        <v>18702</v>
      </c>
      <c r="X89" t="n">
        <v>20379</v>
      </c>
      <c r="Y89" t="n">
        <v>0</v>
      </c>
      <c r="Z89" t="n">
        <v>0</v>
      </c>
      <c r="AA89" t="n">
        <v>0</v>
      </c>
      <c r="AB89" t="n">
        <v>5136.939084503021</v>
      </c>
      <c r="AC89" t="n">
        <v>38.3</v>
      </c>
      <c r="AD89" t="n">
        <v>40.7</v>
      </c>
      <c r="AE89" t="n">
        <v>85.2</v>
      </c>
      <c r="AF89" t="n">
        <v>48.9</v>
      </c>
      <c r="AG89" t="inlineStr">
        <is>
          <t>D</t>
        </is>
      </c>
    </row>
    <row r="90">
      <c r="A90" t="inlineStr">
        <is>
          <t>A376270</t>
        </is>
      </c>
      <c r="B90" t="inlineStr">
        <is>
          <t>HEM파마</t>
        </is>
      </c>
      <c r="C90" t="inlineStr"/>
      <c r="D90" t="inlineStr"/>
      <c r="E90" t="n">
        <v>-49.5</v>
      </c>
      <c r="F90" t="n">
        <v>-216</v>
      </c>
      <c r="G90" t="n">
        <v>-441.2</v>
      </c>
      <c r="H90" t="n">
        <v>24.4</v>
      </c>
      <c r="I90" t="n">
        <v>-17.2</v>
      </c>
      <c r="J90" t="n">
        <v>114.2</v>
      </c>
      <c r="K90" t="n">
        <v>46900</v>
      </c>
      <c r="L90" t="n">
        <v>28633</v>
      </c>
      <c r="M90" t="n">
        <v>13.428877</v>
      </c>
      <c r="N90" t="n">
        <v>36393.2</v>
      </c>
      <c r="O90" t="n">
        <v>0.7867678577316642</v>
      </c>
      <c r="P90" t="n">
        <v>4.975856892409566</v>
      </c>
      <c r="Q90" t="n">
        <v>33.49113251122768</v>
      </c>
      <c r="R90" t="n">
        <v>23.96026990640659</v>
      </c>
      <c r="S90" t="n">
        <v>9.5</v>
      </c>
      <c r="T90" t="n">
        <v>-2.189781021897808</v>
      </c>
      <c r="U90" t="n">
        <v>-21.57190635451505</v>
      </c>
      <c r="V90" t="n">
        <v>53625</v>
      </c>
      <c r="W90" t="n">
        <v>59442.5</v>
      </c>
      <c r="X90" t="n">
        <v>64350.83333333334</v>
      </c>
      <c r="Y90" t="n">
        <v>0</v>
      </c>
      <c r="Z90" t="n">
        <v>0</v>
      </c>
      <c r="AA90" t="n">
        <v>0</v>
      </c>
      <c r="AB90" t="n">
        <v>31194.01258338909</v>
      </c>
      <c r="AC90" t="n">
        <v>43.7</v>
      </c>
      <c r="AD90" t="n">
        <v>38.6</v>
      </c>
      <c r="AE90" t="n">
        <v>54.1</v>
      </c>
      <c r="AF90" t="n">
        <v>43.2</v>
      </c>
      <c r="AG90" t="inlineStr">
        <is>
          <t>D</t>
        </is>
      </c>
    </row>
    <row r="91">
      <c r="A91" t="inlineStr">
        <is>
          <t>A475580</t>
        </is>
      </c>
      <c r="B91" t="inlineStr">
        <is>
          <t>에이럭스</t>
        </is>
      </c>
      <c r="C91" t="inlineStr"/>
      <c r="D91" t="inlineStr"/>
      <c r="E91" t="n">
        <v>0</v>
      </c>
      <c r="F91" t="n">
        <v>-28.3</v>
      </c>
      <c r="G91" t="n">
        <v>-10.2</v>
      </c>
      <c r="H91" t="n">
        <v>-11.5</v>
      </c>
      <c r="I91" t="n">
        <v>-272.5</v>
      </c>
      <c r="J91" t="n">
        <v>-220.4</v>
      </c>
      <c r="K91" t="n">
        <v>8210</v>
      </c>
      <c r="L91" t="n">
        <v>200047</v>
      </c>
      <c r="M91" t="n">
        <v>16.4238587</v>
      </c>
      <c r="N91" t="n">
        <v>261864.55</v>
      </c>
      <c r="O91" t="n">
        <v>0.763933109693542</v>
      </c>
      <c r="P91" t="n">
        <v>3.189560394393661</v>
      </c>
      <c r="Q91" t="n">
        <v>27.08206618557893</v>
      </c>
      <c r="R91" t="n">
        <v>12.78059181152368</v>
      </c>
      <c r="S91" t="n">
        <v>14.3</v>
      </c>
      <c r="T91" t="n">
        <v>-5.086705202312136</v>
      </c>
      <c r="U91" t="n">
        <v>-35.70869224745497</v>
      </c>
      <c r="V91" t="n">
        <v>9032</v>
      </c>
      <c r="W91" t="n">
        <v>9987</v>
      </c>
      <c r="X91" t="n">
        <v>11694.5</v>
      </c>
      <c r="Y91" t="n">
        <v>0</v>
      </c>
      <c r="Z91" t="n">
        <v>0</v>
      </c>
      <c r="AA91" t="n">
        <v>0</v>
      </c>
      <c r="AB91" t="n">
        <v>4914.37590405087</v>
      </c>
      <c r="AC91" t="n">
        <v>16.2</v>
      </c>
      <c r="AD91" t="n">
        <v>31.3</v>
      </c>
      <c r="AE91" t="n">
        <v>50.4</v>
      </c>
      <c r="AF91" t="n">
        <v>30.6</v>
      </c>
      <c r="AG91" t="inlineStr">
        <is>
          <t>D</t>
        </is>
      </c>
    </row>
    <row r="92">
      <c r="A92" t="inlineStr">
        <is>
          <t>A336680</t>
        </is>
      </c>
      <c r="B92" t="inlineStr">
        <is>
          <t>탑런토탈솔루션</t>
        </is>
      </c>
      <c r="C92" t="inlineStr"/>
      <c r="D92" t="inlineStr"/>
      <c r="E92" t="n">
        <v>0</v>
      </c>
      <c r="F92" t="n">
        <v>0</v>
      </c>
      <c r="G92" t="n">
        <v>-9.6</v>
      </c>
      <c r="H92" t="n">
        <v>-2.8</v>
      </c>
      <c r="I92" t="n">
        <v>-11.9</v>
      </c>
      <c r="J92" t="n">
        <v>0.2</v>
      </c>
      <c r="K92" t="n">
        <v>3000</v>
      </c>
      <c r="L92" t="n">
        <v>152753</v>
      </c>
      <c r="M92" t="n">
        <v>4.58259</v>
      </c>
      <c r="N92" t="n">
        <v>48693</v>
      </c>
      <c r="O92" t="n">
        <v>3.137062822171565</v>
      </c>
      <c r="P92" t="n">
        <v>1.732318857362756</v>
      </c>
      <c r="Q92" t="n">
        <v>19.71854636663477</v>
      </c>
      <c r="R92" t="n">
        <v>10.72632201331223</v>
      </c>
      <c r="S92" t="n">
        <v>9</v>
      </c>
      <c r="T92" t="n">
        <v>-4.30622009569378</v>
      </c>
      <c r="U92" t="n">
        <v>-22.58064516129032</v>
      </c>
      <c r="V92" t="n">
        <v>3344.5</v>
      </c>
      <c r="W92" t="n">
        <v>3540.75</v>
      </c>
      <c r="X92" t="n">
        <v>3691.916666666667</v>
      </c>
      <c r="Y92" t="n">
        <v>0</v>
      </c>
      <c r="Z92" t="n">
        <v>0</v>
      </c>
      <c r="AA92" t="n">
        <v>0</v>
      </c>
      <c r="AB92" t="n">
        <v>960.1156728557035</v>
      </c>
      <c r="AC92" t="n">
        <v>29.4</v>
      </c>
      <c r="AD92" t="n">
        <v>50.8</v>
      </c>
      <c r="AE92" t="n">
        <v>98.5</v>
      </c>
      <c r="AF92" t="n">
        <v>53.9</v>
      </c>
      <c r="AG92" t="inlineStr">
        <is>
          <t>C</t>
        </is>
      </c>
    </row>
    <row r="93">
      <c r="A93" t="inlineStr">
        <is>
          <t>A458650</t>
        </is>
      </c>
      <c r="B93" t="inlineStr">
        <is>
          <t>성우</t>
        </is>
      </c>
      <c r="C93" t="inlineStr"/>
      <c r="D93" t="inlineStr"/>
      <c r="E93" t="n">
        <v>20</v>
      </c>
      <c r="F93" t="n">
        <v>87.59999999999999</v>
      </c>
      <c r="G93" t="n">
        <v>114.7</v>
      </c>
      <c r="H93" t="n">
        <v>-16.2</v>
      </c>
      <c r="I93" t="n">
        <v>-147.8</v>
      </c>
      <c r="J93" t="n">
        <v>78.2</v>
      </c>
      <c r="K93" t="n">
        <v>11110</v>
      </c>
      <c r="L93" t="n">
        <v>73631</v>
      </c>
      <c r="M93" t="n">
        <v>8.180404100000001</v>
      </c>
      <c r="N93" t="n">
        <v>155327.35</v>
      </c>
      <c r="O93" t="n">
        <v>0.47403757290651</v>
      </c>
      <c r="P93" t="n">
        <v>3.103341531506584</v>
      </c>
      <c r="Q93" t="n">
        <v>33.28643214584452</v>
      </c>
      <c r="R93" t="n">
        <v>36.48679514240633</v>
      </c>
      <c r="S93" t="n">
        <v>-3.2</v>
      </c>
      <c r="T93" t="n">
        <v>-3.642671292281008</v>
      </c>
      <c r="U93" t="n">
        <v>-19.49275362318841</v>
      </c>
      <c r="V93" t="n">
        <v>12930</v>
      </c>
      <c r="W93" t="n">
        <v>13243</v>
      </c>
      <c r="X93" t="n">
        <v>12981.83333333333</v>
      </c>
      <c r="Y93" t="n">
        <v>0</v>
      </c>
      <c r="Z93" t="n">
        <v>0</v>
      </c>
      <c r="AA93" t="n">
        <v>0</v>
      </c>
      <c r="AB93" t="n">
        <v>3467.044243945213</v>
      </c>
      <c r="AC93" t="n">
        <v>41.1</v>
      </c>
      <c r="AD93" t="n">
        <v>60.4</v>
      </c>
      <c r="AE93" t="n">
        <v>19.3</v>
      </c>
      <c r="AF93" t="n">
        <v>46.4</v>
      </c>
      <c r="AG93" t="inlineStr">
        <is>
          <t>D</t>
        </is>
      </c>
    </row>
    <row r="94">
      <c r="A94" t="inlineStr">
        <is>
          <t>A466100</t>
        </is>
      </c>
      <c r="B94" t="inlineStr">
        <is>
          <t>클로봇</t>
        </is>
      </c>
      <c r="C94" t="inlineStr"/>
      <c r="D94" t="inlineStr"/>
      <c r="E94" t="n">
        <v>130.4</v>
      </c>
      <c r="F94" t="n">
        <v>95.59999999999999</v>
      </c>
      <c r="G94" t="n">
        <v>-244.3</v>
      </c>
      <c r="H94" t="n">
        <v>126.3</v>
      </c>
      <c r="I94" t="n">
        <v>-738.6</v>
      </c>
      <c r="J94" t="n">
        <v>-756</v>
      </c>
      <c r="K94" t="n">
        <v>47400</v>
      </c>
      <c r="L94" t="n">
        <v>804159</v>
      </c>
      <c r="M94" t="n">
        <v>381.171366</v>
      </c>
      <c r="N94" t="n">
        <v>458324.65</v>
      </c>
      <c r="O94" t="n">
        <v>1.754561968246744</v>
      </c>
      <c r="P94" t="n">
        <v>4.485173471533809</v>
      </c>
      <c r="Q94" t="n">
        <v>56.72650095613922</v>
      </c>
      <c r="R94" t="n">
        <v>38.10059043896924</v>
      </c>
      <c r="S94" t="n">
        <v>18.6</v>
      </c>
      <c r="T94" t="n">
        <v>5.450500556173532</v>
      </c>
      <c r="U94" t="n">
        <v>-5.105105105105105</v>
      </c>
      <c r="V94" t="n">
        <v>42680</v>
      </c>
      <c r="W94" t="n">
        <v>45240</v>
      </c>
      <c r="X94" t="n">
        <v>49064.16666666666</v>
      </c>
      <c r="Y94" t="n">
        <v>1</v>
      </c>
      <c r="Z94" t="n">
        <v>1</v>
      </c>
      <c r="AA94" t="n">
        <v>0</v>
      </c>
      <c r="AB94" t="n">
        <v>14185.32970880005</v>
      </c>
      <c r="AC94" t="n">
        <v>93.7</v>
      </c>
      <c r="AD94" t="n">
        <v>58.8</v>
      </c>
      <c r="AE94" t="n">
        <v>93.3</v>
      </c>
      <c r="AF94" t="n">
        <v>76.2</v>
      </c>
      <c r="AG94" t="inlineStr">
        <is>
          <t>B</t>
        </is>
      </c>
    </row>
    <row r="95">
      <c r="A95" t="inlineStr">
        <is>
          <t>A044990</t>
        </is>
      </c>
      <c r="B95" t="inlineStr">
        <is>
          <t>에이치엔에스하이텍</t>
        </is>
      </c>
      <c r="C95" t="inlineStr"/>
      <c r="D95" t="inlineStr"/>
      <c r="E95" t="n">
        <v>-37.2</v>
      </c>
      <c r="F95" t="n">
        <v>-48.4</v>
      </c>
      <c r="G95" t="n">
        <v>-38.2</v>
      </c>
      <c r="H95" t="n">
        <v>-12.3</v>
      </c>
      <c r="I95" t="n">
        <v>-49.6</v>
      </c>
      <c r="J95" t="n">
        <v>-177.3</v>
      </c>
      <c r="K95" t="n">
        <v>13060</v>
      </c>
      <c r="L95" t="n">
        <v>48048</v>
      </c>
      <c r="M95" t="n">
        <v>6.2750688</v>
      </c>
      <c r="N95" t="n">
        <v>161608.55</v>
      </c>
      <c r="O95" t="n">
        <v>0.2973110024191171</v>
      </c>
      <c r="P95" t="n">
        <v>5.51554703461576</v>
      </c>
      <c r="Q95" t="n">
        <v>34.8557178895836</v>
      </c>
      <c r="R95" t="n">
        <v>31.32691997856981</v>
      </c>
      <c r="S95" t="n">
        <v>3.5</v>
      </c>
      <c r="T95" t="n">
        <v>-4.322344322344318</v>
      </c>
      <c r="U95" t="n">
        <v>-19.87730061349693</v>
      </c>
      <c r="V95" t="n">
        <v>14174</v>
      </c>
      <c r="W95" t="n">
        <v>15958.5</v>
      </c>
      <c r="X95" t="n">
        <v>15600.5</v>
      </c>
      <c r="Y95" t="n">
        <v>0</v>
      </c>
      <c r="Z95" t="n">
        <v>0</v>
      </c>
      <c r="AA95" t="n">
        <v>0</v>
      </c>
      <c r="AB95" t="n">
        <v>9377.206631536188</v>
      </c>
      <c r="AC95" t="n">
        <v>40.1</v>
      </c>
      <c r="AD95" t="n">
        <v>24.6</v>
      </c>
      <c r="AE95" t="n">
        <v>8.9</v>
      </c>
      <c r="AF95" t="n">
        <v>26.1</v>
      </c>
      <c r="AG95" t="inlineStr">
        <is>
          <t>F</t>
        </is>
      </c>
    </row>
    <row r="96">
      <c r="A96" t="inlineStr">
        <is>
          <t>A289930</t>
        </is>
      </c>
      <c r="B96" t="inlineStr">
        <is>
          <t>웨이비스</t>
        </is>
      </c>
      <c r="C96" t="inlineStr"/>
      <c r="D96" t="inlineStr"/>
      <c r="E96" t="n">
        <v>1.9</v>
      </c>
      <c r="F96" t="n">
        <v>-43.7</v>
      </c>
      <c r="G96" t="n">
        <v>-213</v>
      </c>
      <c r="H96" t="n">
        <v>42.9</v>
      </c>
      <c r="I96" t="n">
        <v>-106.9</v>
      </c>
      <c r="J96" t="n">
        <v>-81.5</v>
      </c>
      <c r="K96" t="n">
        <v>11600</v>
      </c>
      <c r="L96" t="n">
        <v>147165</v>
      </c>
      <c r="M96" t="n">
        <v>17.07114</v>
      </c>
      <c r="N96" t="n">
        <v>304348.95</v>
      </c>
      <c r="O96" t="n">
        <v>0.4835403572116809</v>
      </c>
      <c r="P96" t="n">
        <v>4.526467295997646</v>
      </c>
      <c r="Q96" t="n">
        <v>26.67465386652642</v>
      </c>
      <c r="R96" t="n">
        <v>3.47256547997838</v>
      </c>
      <c r="S96" t="n">
        <v>23.2</v>
      </c>
      <c r="T96" t="n">
        <v>-2.274641954507162</v>
      </c>
      <c r="U96" t="n">
        <v>-46.54377880184332</v>
      </c>
      <c r="V96" t="n">
        <v>13386</v>
      </c>
      <c r="W96" t="n">
        <v>15666.5</v>
      </c>
      <c r="X96" t="n">
        <v>18026</v>
      </c>
      <c r="Y96" t="n">
        <v>0</v>
      </c>
      <c r="Z96" t="n">
        <v>0</v>
      </c>
      <c r="AA96" t="n">
        <v>0</v>
      </c>
      <c r="AB96" t="n">
        <v>11953.35689472339</v>
      </c>
      <c r="AC96" t="n">
        <v>19.3</v>
      </c>
      <c r="AD96" t="n">
        <v>47.3</v>
      </c>
      <c r="AE96" t="n">
        <v>21.5</v>
      </c>
      <c r="AF96" t="n">
        <v>33.7</v>
      </c>
      <c r="AG96" t="inlineStr">
        <is>
          <t>D</t>
        </is>
      </c>
    </row>
    <row r="97">
      <c r="A97" t="inlineStr">
        <is>
          <t>A475400</t>
        </is>
      </c>
      <c r="B97" t="inlineStr">
        <is>
          <t>씨메스</t>
        </is>
      </c>
      <c r="C97" t="inlineStr"/>
      <c r="D97" t="inlineStr"/>
      <c r="E97" t="n">
        <v>-17.4</v>
      </c>
      <c r="F97" t="n">
        <v>-37.1</v>
      </c>
      <c r="G97" t="n">
        <v>-487</v>
      </c>
      <c r="H97" t="n">
        <v>-3</v>
      </c>
      <c r="I97" t="n">
        <v>-59</v>
      </c>
      <c r="J97" t="n">
        <v>-35.3</v>
      </c>
      <c r="K97" t="n">
        <v>28200</v>
      </c>
      <c r="L97" t="n">
        <v>265105</v>
      </c>
      <c r="M97" t="n">
        <v>74.75961</v>
      </c>
      <c r="N97" t="n">
        <v>182684.05</v>
      </c>
      <c r="O97" t="n">
        <v>1.45116664536395</v>
      </c>
      <c r="P97" t="n">
        <v>6.064543393183851</v>
      </c>
      <c r="Q97" t="n">
        <v>46.56757928187297</v>
      </c>
      <c r="R97" t="n">
        <v>23.19211465158581</v>
      </c>
      <c r="S97" t="n">
        <v>23.4</v>
      </c>
      <c r="T97" t="n">
        <v>11.90476190476191</v>
      </c>
      <c r="U97" t="n">
        <v>-12.42236024844721</v>
      </c>
      <c r="V97" t="n">
        <v>28025</v>
      </c>
      <c r="W97" t="n">
        <v>30785</v>
      </c>
      <c r="X97" t="n">
        <v>32205.83333333333</v>
      </c>
      <c r="Y97" t="n">
        <v>1</v>
      </c>
      <c r="Z97" t="n">
        <v>0</v>
      </c>
      <c r="AA97" t="n">
        <v>0</v>
      </c>
      <c r="AB97" t="n">
        <v>13693.19462168594</v>
      </c>
      <c r="AC97" t="n">
        <v>90.8</v>
      </c>
      <c r="AD97" t="n">
        <v>28</v>
      </c>
      <c r="AE97" t="n">
        <v>87.40000000000001</v>
      </c>
      <c r="AF97" t="n">
        <v>58.7</v>
      </c>
      <c r="AG97" t="inlineStr">
        <is>
          <t>C</t>
        </is>
      </c>
    </row>
    <row r="98">
      <c r="A98" t="inlineStr">
        <is>
          <t>A457370</t>
        </is>
      </c>
      <c r="B98" t="inlineStr">
        <is>
          <t>한켐</t>
        </is>
      </c>
      <c r="C98" t="inlineStr"/>
      <c r="D98" t="inlineStr"/>
      <c r="E98" t="n">
        <v>8.1</v>
      </c>
      <c r="F98" t="n">
        <v>36.2</v>
      </c>
      <c r="G98" t="n">
        <v>32.5</v>
      </c>
      <c r="H98" t="n">
        <v>21.9</v>
      </c>
      <c r="I98" t="n">
        <v>-442.6</v>
      </c>
      <c r="J98" t="n">
        <v>-286.7</v>
      </c>
      <c r="K98" t="n">
        <v>11770</v>
      </c>
      <c r="L98" t="n">
        <v>1685866</v>
      </c>
      <c r="M98" t="n">
        <v>198.4264282</v>
      </c>
      <c r="N98" t="n">
        <v>1375900.7</v>
      </c>
      <c r="O98" t="n">
        <v>1.225281737264906</v>
      </c>
      <c r="P98" t="n">
        <v>7.511081159249752</v>
      </c>
      <c r="Q98" t="n">
        <v>65.17907950752662</v>
      </c>
      <c r="R98" t="n">
        <v>59.89242537970694</v>
      </c>
      <c r="S98" t="n">
        <v>5.3</v>
      </c>
      <c r="T98" t="n">
        <v>7.685269899359559</v>
      </c>
      <c r="U98" t="n">
        <v>26.83189655172414</v>
      </c>
      <c r="V98" t="n">
        <v>10273</v>
      </c>
      <c r="W98" t="n">
        <v>9564.5</v>
      </c>
      <c r="X98" t="n">
        <v>8924.166666666666</v>
      </c>
      <c r="Y98" t="n">
        <v>1</v>
      </c>
      <c r="Z98" t="n">
        <v>1</v>
      </c>
      <c r="AA98" t="n">
        <v>1</v>
      </c>
      <c r="AB98" t="n">
        <v>6204.900949207302</v>
      </c>
      <c r="AC98" t="n">
        <v>98.90000000000001</v>
      </c>
      <c r="AD98" t="n">
        <v>60.5</v>
      </c>
      <c r="AE98" t="n">
        <v>80.7</v>
      </c>
      <c r="AF98" t="n">
        <v>76.09999999999999</v>
      </c>
      <c r="AG98" t="inlineStr">
        <is>
          <t>B</t>
        </is>
      </c>
    </row>
    <row r="99">
      <c r="A99" t="inlineStr">
        <is>
          <t>A474170</t>
        </is>
      </c>
      <c r="B99" t="inlineStr">
        <is>
          <t>루미르</t>
        </is>
      </c>
      <c r="C99" t="inlineStr"/>
      <c r="D99" t="inlineStr"/>
      <c r="E99" t="n">
        <v>-78.40000000000001</v>
      </c>
      <c r="F99" t="n">
        <v>-97.7</v>
      </c>
      <c r="G99" t="n">
        <v>-63.3</v>
      </c>
      <c r="H99" t="n">
        <v>60.6</v>
      </c>
      <c r="I99" t="n">
        <v>79.90000000000001</v>
      </c>
      <c r="J99" t="n">
        <v>-327.7</v>
      </c>
      <c r="K99" t="n">
        <v>10620</v>
      </c>
      <c r="L99" t="n">
        <v>319817</v>
      </c>
      <c r="M99" t="n">
        <v>33.9645654</v>
      </c>
      <c r="N99" t="n">
        <v>417352.3</v>
      </c>
      <c r="O99" t="n">
        <v>0.7662998382900968</v>
      </c>
      <c r="P99" t="n">
        <v>5.899881250257555</v>
      </c>
      <c r="Q99" t="n">
        <v>36.57877396008939</v>
      </c>
      <c r="R99" t="n">
        <v>29.31089649775644</v>
      </c>
      <c r="S99" t="n">
        <v>7.3</v>
      </c>
      <c r="T99" t="n">
        <v>-7.329842931937169</v>
      </c>
      <c r="U99" t="n">
        <v>-34.48488587291795</v>
      </c>
      <c r="V99" t="n">
        <v>12267</v>
      </c>
      <c r="W99" t="n">
        <v>13425</v>
      </c>
      <c r="X99" t="n">
        <v>14457.66666666667</v>
      </c>
      <c r="Y99" t="n">
        <v>0</v>
      </c>
      <c r="Z99" t="n">
        <v>0</v>
      </c>
      <c r="AA99" t="n">
        <v>0</v>
      </c>
      <c r="AB99" t="n">
        <v>6281.649129764715</v>
      </c>
      <c r="AC99" t="n">
        <v>21.3</v>
      </c>
      <c r="AD99" t="n">
        <v>42.5</v>
      </c>
      <c r="AE99" t="n">
        <v>51.1</v>
      </c>
      <c r="AF99" t="n">
        <v>37.9</v>
      </c>
      <c r="AG99" t="inlineStr">
        <is>
          <t>D</t>
        </is>
      </c>
    </row>
    <row r="100">
      <c r="A100" t="inlineStr">
        <is>
          <t>A209640</t>
        </is>
      </c>
      <c r="B100" t="inlineStr">
        <is>
          <t>와이제이링크</t>
        </is>
      </c>
      <c r="C100" t="inlineStr"/>
      <c r="D100" t="inlineStr"/>
      <c r="E100" t="n">
        <v>0.1</v>
      </c>
      <c r="F100" t="n">
        <v>0.2</v>
      </c>
      <c r="G100" t="n">
        <v>-61</v>
      </c>
      <c r="H100" t="n">
        <v>180.2</v>
      </c>
      <c r="I100" t="n">
        <v>-126.4</v>
      </c>
      <c r="J100" t="n">
        <v>109.9</v>
      </c>
      <c r="K100" t="n">
        <v>5980</v>
      </c>
      <c r="L100" t="n">
        <v>1031966</v>
      </c>
      <c r="M100" t="n">
        <v>61.7115668</v>
      </c>
      <c r="N100" t="n">
        <v>1709684.7</v>
      </c>
      <c r="O100" t="n">
        <v>0.6036001842912907</v>
      </c>
      <c r="P100" t="n">
        <v>9.338788699427312</v>
      </c>
      <c r="Q100" t="n">
        <v>38.37418841694839</v>
      </c>
      <c r="R100" t="n">
        <v>39.07928282837096</v>
      </c>
      <c r="S100" t="n">
        <v>-0.7</v>
      </c>
      <c r="T100" t="n">
        <v>-4.777070063694266</v>
      </c>
      <c r="U100" t="n">
        <v>-26.53562653562653</v>
      </c>
      <c r="V100" t="n">
        <v>7633</v>
      </c>
      <c r="W100" t="n">
        <v>8211.5</v>
      </c>
      <c r="X100" t="n">
        <v>6122.166666666667</v>
      </c>
      <c r="Y100" t="n">
        <v>0</v>
      </c>
      <c r="Z100" t="n">
        <v>0</v>
      </c>
      <c r="AA100" t="n">
        <v>0</v>
      </c>
      <c r="AB100" t="n">
        <v>3927.946296127666</v>
      </c>
      <c r="AC100" t="n">
        <v>36.7</v>
      </c>
      <c r="AD100" t="n">
        <v>63.3</v>
      </c>
      <c r="AE100" t="n">
        <v>31.9</v>
      </c>
      <c r="AF100" t="n">
        <v>49</v>
      </c>
      <c r="AG100" t="inlineStr">
        <is>
          <t>D</t>
        </is>
      </c>
    </row>
    <row r="101">
      <c r="A101" t="inlineStr">
        <is>
          <t>A465480</t>
        </is>
      </c>
      <c r="B101" t="inlineStr">
        <is>
          <t>인스피언</t>
        </is>
      </c>
      <c r="C101" t="inlineStr"/>
      <c r="D101" t="inlineStr"/>
      <c r="E101" t="n">
        <v>8.9</v>
      </c>
      <c r="F101" t="n">
        <v>24.4</v>
      </c>
      <c r="G101" t="n">
        <v>127.4</v>
      </c>
      <c r="H101" t="n">
        <v>6.5</v>
      </c>
      <c r="I101" t="n">
        <v>-2.2</v>
      </c>
      <c r="J101" t="n">
        <v>-33</v>
      </c>
      <c r="K101" t="n">
        <v>4950</v>
      </c>
      <c r="L101" t="n">
        <v>36441</v>
      </c>
      <c r="M101" t="n">
        <v>1.8038295</v>
      </c>
      <c r="N101" t="n">
        <v>452135.65</v>
      </c>
      <c r="O101" t="n">
        <v>0.0805974932523016</v>
      </c>
      <c r="P101" t="n">
        <v>3.982066579597687</v>
      </c>
      <c r="Q101" t="n">
        <v>37.232996997181</v>
      </c>
      <c r="R101" t="n">
        <v>38.49722584967249</v>
      </c>
      <c r="S101" t="n">
        <v>-1.3</v>
      </c>
      <c r="T101" t="n">
        <v>1.020408163265296</v>
      </c>
      <c r="U101" t="n">
        <v>-13.46153846153846</v>
      </c>
      <c r="V101" t="n">
        <v>5633</v>
      </c>
      <c r="W101" t="n">
        <v>5758.5</v>
      </c>
      <c r="X101" t="n">
        <v>5491.666666666667</v>
      </c>
      <c r="Y101" t="n">
        <v>0</v>
      </c>
      <c r="Z101" t="n">
        <v>0</v>
      </c>
      <c r="AA101" t="n">
        <v>0</v>
      </c>
      <c r="AB101" t="n">
        <v>1474.286267995474</v>
      </c>
      <c r="AC101" t="n">
        <v>59.6</v>
      </c>
      <c r="AD101" t="n">
        <v>71.2</v>
      </c>
      <c r="AE101" t="n">
        <v>0.7</v>
      </c>
      <c r="AF101" t="n">
        <v>53.6</v>
      </c>
      <c r="AG101" t="inlineStr">
        <is>
          <t>C</t>
        </is>
      </c>
    </row>
    <row r="102">
      <c r="A102" t="inlineStr">
        <is>
          <t>A308430</t>
        </is>
      </c>
      <c r="B102" t="inlineStr">
        <is>
          <t>셀비온</t>
        </is>
      </c>
      <c r="C102" t="inlineStr"/>
      <c r="D102" t="inlineStr"/>
      <c r="E102" t="n">
        <v>3.7</v>
      </c>
      <c r="F102" t="n">
        <v>30.2</v>
      </c>
      <c r="G102" t="n">
        <v>117.6</v>
      </c>
      <c r="H102" t="n">
        <v>40.5</v>
      </c>
      <c r="I102" t="n">
        <v>83.5</v>
      </c>
      <c r="J102" t="n">
        <v>9.300000000000001</v>
      </c>
      <c r="K102" t="n">
        <v>19400</v>
      </c>
      <c r="L102" t="n">
        <v>67133</v>
      </c>
      <c r="M102" t="n">
        <v>13.023802</v>
      </c>
      <c r="N102" t="n">
        <v>123784.5</v>
      </c>
      <c r="O102" t="n">
        <v>0.5423376917142292</v>
      </c>
      <c r="P102" t="n">
        <v>4.332480460983859</v>
      </c>
      <c r="Q102" t="n">
        <v>24.46408399496245</v>
      </c>
      <c r="R102" t="n">
        <v>4.427769884131739</v>
      </c>
      <c r="S102" t="n">
        <v>20</v>
      </c>
      <c r="T102" t="n">
        <v>-3.960396039603964</v>
      </c>
      <c r="U102" t="n">
        <v>-46.48275862068966</v>
      </c>
      <c r="V102" t="n">
        <v>23290</v>
      </c>
      <c r="W102" t="n">
        <v>26170</v>
      </c>
      <c r="X102" t="n">
        <v>29691.66666666667</v>
      </c>
      <c r="Y102" t="n">
        <v>0</v>
      </c>
      <c r="Z102" t="n">
        <v>0</v>
      </c>
      <c r="AA102" t="n">
        <v>0</v>
      </c>
      <c r="AB102" t="n">
        <v>15806.91387702826</v>
      </c>
      <c r="AC102" t="n">
        <v>13.7</v>
      </c>
      <c r="AD102" t="n">
        <v>81.40000000000001</v>
      </c>
      <c r="AE102" t="n">
        <v>25.9</v>
      </c>
      <c r="AF102" t="n">
        <v>50</v>
      </c>
      <c r="AG102" t="inlineStr">
        <is>
          <t>C</t>
        </is>
      </c>
    </row>
    <row r="103">
      <c r="A103" t="inlineStr">
        <is>
          <t>A381620</t>
        </is>
      </c>
      <c r="B103" t="inlineStr">
        <is>
          <t>제닉스로보틱스</t>
        </is>
      </c>
      <c r="C103" t="inlineStr"/>
      <c r="D103" t="inlineStr"/>
      <c r="E103" t="n">
        <v>-40.2</v>
      </c>
      <c r="F103" t="n">
        <v>6.4</v>
      </c>
      <c r="G103" t="n">
        <v>9.800000000000001</v>
      </c>
      <c r="H103" t="n">
        <v>-0.6</v>
      </c>
      <c r="I103" t="n">
        <v>-178.7</v>
      </c>
      <c r="J103" t="n">
        <v>-465.9</v>
      </c>
      <c r="K103" t="n">
        <v>10250</v>
      </c>
      <c r="L103" t="n">
        <v>603633</v>
      </c>
      <c r="M103" t="n">
        <v>61.8723825</v>
      </c>
      <c r="N103" t="n">
        <v>2050820.1</v>
      </c>
      <c r="O103" t="n">
        <v>0.2943373726442412</v>
      </c>
      <c r="P103" t="n">
        <v>6.673919077766723</v>
      </c>
      <c r="Q103" t="n">
        <v>46.07464737147694</v>
      </c>
      <c r="R103" t="n">
        <v>40.20775960742358</v>
      </c>
      <c r="S103" t="n">
        <v>5.9</v>
      </c>
      <c r="T103" t="n">
        <v>-9.292035398230091</v>
      </c>
      <c r="U103" t="n">
        <v>0.68762278978389</v>
      </c>
      <c r="V103" t="n">
        <v>11721</v>
      </c>
      <c r="W103" t="n">
        <v>11576</v>
      </c>
      <c r="X103" t="n">
        <v>10156</v>
      </c>
      <c r="Y103" t="n">
        <v>0</v>
      </c>
      <c r="Z103" t="n">
        <v>0</v>
      </c>
      <c r="AA103" t="n">
        <v>1</v>
      </c>
      <c r="AB103" t="n">
        <v>4375.037323149067</v>
      </c>
      <c r="AC103" t="n">
        <v>45.7</v>
      </c>
      <c r="AD103" t="n">
        <v>38.4</v>
      </c>
      <c r="AE103" t="n">
        <v>8.1</v>
      </c>
      <c r="AF103" t="n">
        <v>34.5</v>
      </c>
      <c r="AG103" t="inlineStr">
        <is>
          <t>D</t>
        </is>
      </c>
    </row>
    <row r="104">
      <c r="A104" t="inlineStr">
        <is>
          <t>A464500</t>
        </is>
      </c>
      <c r="B104" t="inlineStr">
        <is>
          <t>아이언디바이스</t>
        </is>
      </c>
      <c r="C104" t="inlineStr"/>
      <c r="D104" t="inlineStr"/>
      <c r="E104" t="n">
        <v>0.3</v>
      </c>
      <c r="F104" t="n">
        <v>0.2</v>
      </c>
      <c r="G104" t="n">
        <v>-1.3</v>
      </c>
      <c r="H104" t="n">
        <v>-6.5</v>
      </c>
      <c r="I104" t="n">
        <v>-35.3</v>
      </c>
      <c r="J104" t="n">
        <v>-2.2</v>
      </c>
      <c r="K104" t="n">
        <v>2560</v>
      </c>
      <c r="L104" t="n">
        <v>259878</v>
      </c>
      <c r="M104" t="n">
        <v>6.6528768</v>
      </c>
      <c r="N104" t="n">
        <v>237734</v>
      </c>
      <c r="O104" t="n">
        <v>1.093146121295229</v>
      </c>
      <c r="P104" t="n">
        <v>4.92729793407635</v>
      </c>
      <c r="Q104" t="n">
        <v>32.43930833351452</v>
      </c>
      <c r="R104" t="n">
        <v>46.12985796811599</v>
      </c>
      <c r="S104" t="n">
        <v>-13.7</v>
      </c>
      <c r="T104" t="n">
        <v>-7.913669064748197</v>
      </c>
      <c r="U104" t="n">
        <v>-29.95896032831737</v>
      </c>
      <c r="V104" t="n">
        <v>3113</v>
      </c>
      <c r="W104" t="n">
        <v>3388.25</v>
      </c>
      <c r="X104" t="n">
        <v>3438.416666666667</v>
      </c>
      <c r="Y104" t="n">
        <v>0</v>
      </c>
      <c r="Z104" t="n">
        <v>0</v>
      </c>
      <c r="AA104" t="n">
        <v>0</v>
      </c>
      <c r="AB104" t="n">
        <v>1477.540987052831</v>
      </c>
      <c r="AC104" t="n">
        <v>19.8</v>
      </c>
      <c r="AD104" t="n">
        <v>53.5</v>
      </c>
      <c r="AE104" t="n">
        <v>74.8</v>
      </c>
      <c r="AF104" t="n">
        <v>47.6</v>
      </c>
      <c r="AG104" t="inlineStr">
        <is>
          <t>D</t>
        </is>
      </c>
    </row>
    <row r="105">
      <c r="A105" t="inlineStr">
        <is>
          <t>A461300</t>
        </is>
      </c>
      <c r="B105" t="inlineStr">
        <is>
          <t>아이스크림미디어</t>
        </is>
      </c>
      <c r="C105" t="inlineStr"/>
      <c r="D105" t="inlineStr"/>
      <c r="E105" t="n">
        <v>-48.9</v>
      </c>
      <c r="F105" t="n">
        <v>-164.4</v>
      </c>
      <c r="G105" t="n">
        <v>-200</v>
      </c>
      <c r="H105" t="n">
        <v>28.7</v>
      </c>
      <c r="I105" t="n">
        <v>14.5</v>
      </c>
      <c r="J105" t="n">
        <v>91.2</v>
      </c>
      <c r="K105" t="n">
        <v>16800</v>
      </c>
      <c r="L105" t="n">
        <v>70796</v>
      </c>
      <c r="M105" t="n">
        <v>11.893728</v>
      </c>
      <c r="N105" t="n">
        <v>67293.75</v>
      </c>
      <c r="O105" t="n">
        <v>1.052044209157611</v>
      </c>
      <c r="P105" t="n">
        <v>2.706231124629283</v>
      </c>
      <c r="Q105" t="n">
        <v>47.04280254876051</v>
      </c>
      <c r="R105" t="n">
        <v>18.25949216341435</v>
      </c>
      <c r="S105" t="n">
        <v>28.8</v>
      </c>
      <c r="T105" t="n">
        <v>4.347826086956519</v>
      </c>
      <c r="U105" t="n">
        <v>-9.67741935483871</v>
      </c>
      <c r="V105" t="n">
        <v>17416</v>
      </c>
      <c r="W105" t="n">
        <v>17550.5</v>
      </c>
      <c r="X105" t="n">
        <v>16995.33333333333</v>
      </c>
      <c r="Y105" t="n">
        <v>0</v>
      </c>
      <c r="Z105" t="n">
        <v>0</v>
      </c>
      <c r="AA105" t="n">
        <v>0</v>
      </c>
      <c r="AB105" t="n">
        <v>2429.553998490046</v>
      </c>
      <c r="AC105" t="n">
        <v>70.09999999999999</v>
      </c>
      <c r="AD105" t="n">
        <v>45.9</v>
      </c>
      <c r="AE105" t="n">
        <v>71.09999999999999</v>
      </c>
      <c r="AF105" t="n">
        <v>58.2</v>
      </c>
      <c r="AG105" t="inlineStr">
        <is>
          <t>C</t>
        </is>
      </c>
    </row>
    <row r="106">
      <c r="A106" t="inlineStr">
        <is>
          <t>A456070</t>
        </is>
      </c>
      <c r="B106" t="inlineStr">
        <is>
          <t>이엔셀</t>
        </is>
      </c>
      <c r="C106" t="inlineStr"/>
      <c r="D106" t="inlineStr"/>
      <c r="E106" t="n">
        <v>2</v>
      </c>
      <c r="F106" t="n">
        <v>11.2</v>
      </c>
      <c r="G106" t="n">
        <v>5.9</v>
      </c>
      <c r="H106" t="n">
        <v>12</v>
      </c>
      <c r="I106" t="n">
        <v>-106.5</v>
      </c>
      <c r="J106" t="n">
        <v>-31.7</v>
      </c>
      <c r="K106" t="n">
        <v>9610</v>
      </c>
      <c r="L106" t="n">
        <v>81321</v>
      </c>
      <c r="M106" t="n">
        <v>7.8149481</v>
      </c>
      <c r="N106" t="n">
        <v>117730.65</v>
      </c>
      <c r="O106" t="n">
        <v>0.6907377135860543</v>
      </c>
      <c r="P106" t="n">
        <v>3.631524560749175</v>
      </c>
      <c r="Q106" t="n">
        <v>27.9619578930003</v>
      </c>
      <c r="R106" t="n">
        <v>16.89550354559129</v>
      </c>
      <c r="S106" t="n">
        <v>11.1</v>
      </c>
      <c r="T106" t="n">
        <v>-3.803803803803807</v>
      </c>
      <c r="U106" t="n">
        <v>-38.3183568677792</v>
      </c>
      <c r="V106" t="n">
        <v>10883</v>
      </c>
      <c r="W106" t="n">
        <v>12203</v>
      </c>
      <c r="X106" t="n">
        <v>14333.5</v>
      </c>
      <c r="Y106" t="n">
        <v>0</v>
      </c>
      <c r="Z106" t="n">
        <v>0</v>
      </c>
      <c r="AA106" t="n">
        <v>0</v>
      </c>
      <c r="AB106" t="n">
        <v>6527.8944779913</v>
      </c>
      <c r="AC106" t="n">
        <v>18.6</v>
      </c>
      <c r="AD106" t="n">
        <v>63</v>
      </c>
      <c r="AE106" t="n">
        <v>38.5</v>
      </c>
      <c r="AF106" t="n">
        <v>44.8</v>
      </c>
      <c r="AG106" t="inlineStr">
        <is>
          <t>D</t>
        </is>
      </c>
    </row>
    <row r="107">
      <c r="A107" t="inlineStr">
        <is>
          <t>A476080</t>
        </is>
      </c>
      <c r="B107" t="inlineStr">
        <is>
          <t>M83</t>
        </is>
      </c>
      <c r="C107" t="inlineStr"/>
      <c r="D107" t="inlineStr"/>
      <c r="E107" t="n">
        <v>-0.2</v>
      </c>
      <c r="F107" t="n">
        <v>-0.1</v>
      </c>
      <c r="G107" t="n">
        <v>-0.2</v>
      </c>
      <c r="H107" t="n">
        <v>2.8</v>
      </c>
      <c r="I107" t="n">
        <v>-7.7</v>
      </c>
      <c r="J107" t="n">
        <v>-36.4</v>
      </c>
      <c r="K107" t="n">
        <v>5970</v>
      </c>
      <c r="L107" t="n">
        <v>257296</v>
      </c>
      <c r="M107" t="n">
        <v>15.3605712</v>
      </c>
      <c r="N107" t="n">
        <v>54874.55</v>
      </c>
      <c r="O107" t="n">
        <v>4.688803826181718</v>
      </c>
      <c r="P107" t="n">
        <v>6.528866285427988</v>
      </c>
      <c r="Q107" t="n">
        <v>51.8622241239588</v>
      </c>
      <c r="R107" t="n">
        <v>12.06071262526765</v>
      </c>
      <c r="S107" t="n">
        <v>39.8</v>
      </c>
      <c r="T107" t="n">
        <v>29.92383025027203</v>
      </c>
      <c r="U107" t="n">
        <v>-17.19833564493759</v>
      </c>
      <c r="V107" t="n">
        <v>5415</v>
      </c>
      <c r="W107" t="n">
        <v>5897.5</v>
      </c>
      <c r="X107" t="n">
        <v>6407</v>
      </c>
      <c r="Y107" t="n">
        <v>1</v>
      </c>
      <c r="Z107" t="n">
        <v>1</v>
      </c>
      <c r="AA107" t="n">
        <v>0</v>
      </c>
      <c r="AB107" t="n">
        <v>2621.405810066924</v>
      </c>
      <c r="AC107" t="n">
        <v>89.8</v>
      </c>
      <c r="AD107" t="n">
        <v>49.5</v>
      </c>
      <c r="AE107" t="n">
        <v>99.3</v>
      </c>
      <c r="AF107" t="n">
        <v>71.59999999999999</v>
      </c>
      <c r="AG107" t="inlineStr">
        <is>
          <t>B</t>
        </is>
      </c>
    </row>
    <row r="108">
      <c r="A108" t="inlineStr">
        <is>
          <t>A464280</t>
        </is>
      </c>
      <c r="B108" t="inlineStr">
        <is>
          <t>티디에스팜</t>
        </is>
      </c>
      <c r="C108" t="inlineStr"/>
      <c r="D108" t="inlineStr"/>
      <c r="E108" t="n">
        <v>2</v>
      </c>
      <c r="F108" t="n">
        <v>2</v>
      </c>
      <c r="G108" t="n">
        <v>5.8</v>
      </c>
      <c r="H108" t="n">
        <v>-0.3</v>
      </c>
      <c r="I108" t="n">
        <v>-20.2</v>
      </c>
      <c r="J108" t="n">
        <v>-38.1</v>
      </c>
      <c r="K108" t="n">
        <v>7050</v>
      </c>
      <c r="L108" t="n">
        <v>37027</v>
      </c>
      <c r="M108" t="n">
        <v>2.6104035</v>
      </c>
      <c r="N108" t="n">
        <v>35815.3</v>
      </c>
      <c r="O108" t="n">
        <v>1.033831909826247</v>
      </c>
      <c r="P108" t="n">
        <v>3.003292779901105</v>
      </c>
      <c r="Q108" t="n">
        <v>33.29153397830036</v>
      </c>
      <c r="R108" t="n">
        <v>20.89496981214896</v>
      </c>
      <c r="S108" t="n">
        <v>12.4</v>
      </c>
      <c r="T108" t="n">
        <v>0.5706134094151105</v>
      </c>
      <c r="U108" t="n">
        <v>-23.86609071274298</v>
      </c>
      <c r="V108" t="n">
        <v>7820</v>
      </c>
      <c r="W108" t="n">
        <v>8118.5</v>
      </c>
      <c r="X108" t="n">
        <v>8584</v>
      </c>
      <c r="Y108" t="n">
        <v>0</v>
      </c>
      <c r="Z108" t="n">
        <v>0</v>
      </c>
      <c r="AA108" t="n">
        <v>0</v>
      </c>
      <c r="AB108" t="n">
        <v>1967.580400283288</v>
      </c>
      <c r="AC108" t="n">
        <v>48.2</v>
      </c>
      <c r="AD108" t="n">
        <v>59.5</v>
      </c>
      <c r="AE108" t="n">
        <v>70.40000000000001</v>
      </c>
      <c r="AF108" t="n">
        <v>58.3</v>
      </c>
      <c r="AG108" t="inlineStr">
        <is>
          <t>C</t>
        </is>
      </c>
    </row>
    <row r="109">
      <c r="A109" t="inlineStr">
        <is>
          <t>A431190</t>
        </is>
      </c>
      <c r="B109" t="inlineStr">
        <is>
          <t>케이쓰리아이</t>
        </is>
      </c>
      <c r="C109" t="inlineStr"/>
      <c r="D109" t="inlineStr"/>
      <c r="E109" t="n">
        <v>0.1</v>
      </c>
      <c r="F109" t="n">
        <v>0.1</v>
      </c>
      <c r="G109" t="n">
        <v>0.1</v>
      </c>
      <c r="H109" t="n">
        <v>2.6</v>
      </c>
      <c r="I109" t="n">
        <v>2.2</v>
      </c>
      <c r="J109" t="n">
        <v>13.1</v>
      </c>
      <c r="K109" t="n">
        <v>2880</v>
      </c>
      <c r="L109" t="n">
        <v>123127</v>
      </c>
      <c r="M109" t="n">
        <v>3.5460576</v>
      </c>
      <c r="N109" t="n">
        <v>49237</v>
      </c>
      <c r="O109" t="n">
        <v>2.500700692568597</v>
      </c>
      <c r="P109" t="n">
        <v>3.186808971071922</v>
      </c>
      <c r="Q109" t="n">
        <v>20.98464228387232</v>
      </c>
      <c r="R109" t="n">
        <v>11.49163242396563</v>
      </c>
      <c r="S109" t="n">
        <v>9.5</v>
      </c>
      <c r="T109" t="n">
        <v>-6.493506493506496</v>
      </c>
      <c r="U109" t="n">
        <v>-39.11205073995772</v>
      </c>
      <c r="V109" t="n">
        <v>3640.5</v>
      </c>
      <c r="W109" t="n">
        <v>3982.25</v>
      </c>
      <c r="X109" t="n">
        <v>4205.25</v>
      </c>
      <c r="Y109" t="n">
        <v>0</v>
      </c>
      <c r="Z109" t="n">
        <v>0</v>
      </c>
      <c r="AA109" t="n">
        <v>0</v>
      </c>
      <c r="AB109" t="n">
        <v>1926.583832372185</v>
      </c>
      <c r="AC109" t="n">
        <v>8.6</v>
      </c>
      <c r="AD109" t="n">
        <v>64.8</v>
      </c>
      <c r="AE109" t="n">
        <v>97</v>
      </c>
      <c r="AF109" t="n">
        <v>54.4</v>
      </c>
      <c r="AG109" t="inlineStr">
        <is>
          <t>C</t>
        </is>
      </c>
    </row>
    <row r="110">
      <c r="A110" t="inlineStr">
        <is>
          <t>A389650</t>
        </is>
      </c>
      <c r="B110" t="inlineStr">
        <is>
          <t>넥스트바이오메디컬</t>
        </is>
      </c>
      <c r="C110" t="inlineStr"/>
      <c r="D110" t="inlineStr"/>
      <c r="E110" t="n">
        <v>9.300000000000001</v>
      </c>
      <c r="F110" t="n">
        <v>-73</v>
      </c>
      <c r="G110" t="n">
        <v>-226.6</v>
      </c>
      <c r="H110" t="n">
        <v>72.59999999999999</v>
      </c>
      <c r="I110" t="n">
        <v>246.3</v>
      </c>
      <c r="J110" t="n">
        <v>1136</v>
      </c>
      <c r="K110" t="n">
        <v>42500</v>
      </c>
      <c r="L110" t="n">
        <v>113863</v>
      </c>
      <c r="M110" t="n">
        <v>48.391775</v>
      </c>
      <c r="N110" t="n">
        <v>76296.55</v>
      </c>
      <c r="O110" t="n">
        <v>1.492374163707271</v>
      </c>
      <c r="P110" t="n">
        <v>3.374899689746042</v>
      </c>
      <c r="Q110" t="n">
        <v>32.2040238952342</v>
      </c>
      <c r="R110" t="n">
        <v>12.11131438264126</v>
      </c>
      <c r="S110" t="n">
        <v>20.1</v>
      </c>
      <c r="T110" t="n">
        <v>4.166666666666674</v>
      </c>
      <c r="U110" t="n">
        <v>-28.57142857142857</v>
      </c>
      <c r="V110" t="n">
        <v>45040</v>
      </c>
      <c r="W110" t="n">
        <v>50187.5</v>
      </c>
      <c r="X110" t="n">
        <v>62319.16666666666</v>
      </c>
      <c r="Y110" t="n">
        <v>0</v>
      </c>
      <c r="Z110" t="n">
        <v>0</v>
      </c>
      <c r="AA110" t="n">
        <v>0</v>
      </c>
      <c r="AB110" t="n">
        <v>24443.43631626613</v>
      </c>
      <c r="AC110" t="n">
        <v>46.7</v>
      </c>
      <c r="AD110" t="n">
        <v>69</v>
      </c>
      <c r="AE110" t="n">
        <v>88.09999999999999</v>
      </c>
      <c r="AF110" t="n">
        <v>66.09999999999999</v>
      </c>
      <c r="AG110" t="inlineStr">
        <is>
          <t>B</t>
        </is>
      </c>
    </row>
    <row r="111">
      <c r="A111" t="inlineStr">
        <is>
          <t>A079900</t>
        </is>
      </c>
      <c r="B111" t="inlineStr">
        <is>
          <t>전진건설로봇</t>
        </is>
      </c>
      <c r="C111" t="inlineStr"/>
      <c r="D111" t="inlineStr"/>
      <c r="E111" t="n">
        <v>-1.9</v>
      </c>
      <c r="F111" t="n">
        <v>-40</v>
      </c>
      <c r="G111" t="n">
        <v>-217.6</v>
      </c>
      <c r="H111" t="n">
        <v>-61.6</v>
      </c>
      <c r="I111" t="n">
        <v>-91.3</v>
      </c>
      <c r="J111" t="n">
        <v>-243.6</v>
      </c>
      <c r="K111" t="n">
        <v>55900</v>
      </c>
      <c r="L111" t="n">
        <v>47987</v>
      </c>
      <c r="M111" t="n">
        <v>26.824733</v>
      </c>
      <c r="N111" t="n">
        <v>136149.6</v>
      </c>
      <c r="O111" t="n">
        <v>0.3524578845622756</v>
      </c>
      <c r="P111" t="n">
        <v>4.067329394981693</v>
      </c>
      <c r="Q111" t="n">
        <v>44.05928202180538</v>
      </c>
      <c r="R111" t="n">
        <v>35.82555023661813</v>
      </c>
      <c r="S111" t="n">
        <v>8.199999999999999</v>
      </c>
      <c r="T111" t="n">
        <v>-1.236749116607772</v>
      </c>
      <c r="U111" t="n">
        <v>-12.79251170046802</v>
      </c>
      <c r="V111" t="n">
        <v>57870</v>
      </c>
      <c r="W111" t="n">
        <v>60620</v>
      </c>
      <c r="X111" t="n">
        <v>60205</v>
      </c>
      <c r="Y111" t="n">
        <v>0</v>
      </c>
      <c r="Z111" t="n">
        <v>0</v>
      </c>
      <c r="AA111" t="n">
        <v>0</v>
      </c>
      <c r="AB111" t="n">
        <v>16660.87759108932</v>
      </c>
      <c r="AC111" t="n">
        <v>59.4</v>
      </c>
      <c r="AD111" t="n">
        <v>22.4</v>
      </c>
      <c r="AE111" t="n">
        <v>14.1</v>
      </c>
      <c r="AF111" t="n">
        <v>31.8</v>
      </c>
      <c r="AG111" t="inlineStr">
        <is>
          <t>D</t>
        </is>
      </c>
    </row>
    <row r="112">
      <c r="A112" t="inlineStr">
        <is>
          <t>A088340</t>
        </is>
      </c>
      <c r="B112" t="inlineStr">
        <is>
          <t>유라클</t>
        </is>
      </c>
      <c r="C112" t="inlineStr"/>
      <c r="D112" t="inlineStr"/>
      <c r="E112" t="n">
        <v>0</v>
      </c>
      <c r="F112" t="n">
        <v>0.1</v>
      </c>
      <c r="G112" t="n">
        <v>0</v>
      </c>
      <c r="H112" t="n">
        <v>5.2</v>
      </c>
      <c r="I112" t="n">
        <v>1.5</v>
      </c>
      <c r="J112" t="n">
        <v>17.3</v>
      </c>
      <c r="K112" t="n">
        <v>9590</v>
      </c>
      <c r="L112" t="n">
        <v>75420</v>
      </c>
      <c r="M112" t="n">
        <v>7.232778</v>
      </c>
      <c r="N112" t="n">
        <v>64084.35</v>
      </c>
      <c r="O112" t="n">
        <v>1.176886400501839</v>
      </c>
      <c r="P112" t="n">
        <v>4.016706507253807</v>
      </c>
      <c r="Q112" t="n">
        <v>35.47100802320867</v>
      </c>
      <c r="R112" t="n">
        <v>18.10397430471093</v>
      </c>
      <c r="S112" t="n">
        <v>17.4</v>
      </c>
      <c r="T112" t="n">
        <v>-1.741803278688525</v>
      </c>
      <c r="U112" t="n">
        <v>-27.40348221044663</v>
      </c>
      <c r="V112" t="n">
        <v>10254</v>
      </c>
      <c r="W112" t="n">
        <v>11018.5</v>
      </c>
      <c r="X112" t="n">
        <v>11852.66666666667</v>
      </c>
      <c r="Y112" t="n">
        <v>0</v>
      </c>
      <c r="Z112" t="n">
        <v>0</v>
      </c>
      <c r="AA112" t="n">
        <v>0</v>
      </c>
      <c r="AB112" t="n">
        <v>4085.554011263022</v>
      </c>
      <c r="AC112" t="n">
        <v>41.7</v>
      </c>
      <c r="AD112" t="n">
        <v>62.8</v>
      </c>
      <c r="AE112" t="n">
        <v>78.5</v>
      </c>
      <c r="AF112" t="n">
        <v>59.6</v>
      </c>
      <c r="AG112" t="inlineStr">
        <is>
          <t>C</t>
        </is>
      </c>
    </row>
    <row r="113">
      <c r="A113" t="inlineStr">
        <is>
          <t>A199480</t>
        </is>
      </c>
      <c r="B113" t="inlineStr">
        <is>
          <t>뱅크웨어글로벌</t>
        </is>
      </c>
      <c r="C113" t="inlineStr"/>
      <c r="D113" t="inlineStr"/>
      <c r="E113" t="n">
        <v>0</v>
      </c>
      <c r="F113" t="n">
        <v>0</v>
      </c>
      <c r="G113" t="n">
        <v>0</v>
      </c>
      <c r="H113" t="n">
        <v>-2.4</v>
      </c>
      <c r="I113" t="n">
        <v>-9.1</v>
      </c>
      <c r="J113" t="n">
        <v>-20.5</v>
      </c>
      <c r="K113" t="n">
        <v>3815</v>
      </c>
      <c r="L113" t="n">
        <v>56311</v>
      </c>
      <c r="M113" t="n">
        <v>2.14826465</v>
      </c>
      <c r="N113" t="n">
        <v>44118.95</v>
      </c>
      <c r="O113" t="n">
        <v>1.276344971945162</v>
      </c>
      <c r="P113" t="n">
        <v>1.821091733589321</v>
      </c>
      <c r="Q113" t="n">
        <v>27.11057747246929</v>
      </c>
      <c r="R113" t="n">
        <v>11.03007687829439</v>
      </c>
      <c r="S113" t="n">
        <v>16.1</v>
      </c>
      <c r="T113" t="n">
        <v>0.2628120893561015</v>
      </c>
      <c r="U113" t="n">
        <v>-25.19607843137255</v>
      </c>
      <c r="V113" t="n">
        <v>4096</v>
      </c>
      <c r="W113" t="n">
        <v>4376.25</v>
      </c>
      <c r="X113" t="n">
        <v>4652.083333333333</v>
      </c>
      <c r="Y113" t="n">
        <v>0</v>
      </c>
      <c r="Z113" t="n">
        <v>0</v>
      </c>
      <c r="AA113" t="n">
        <v>0</v>
      </c>
      <c r="AB113" t="n">
        <v>1459.933307777407</v>
      </c>
      <c r="AC113" t="n">
        <v>41.6</v>
      </c>
      <c r="AD113" t="n">
        <v>52.7</v>
      </c>
      <c r="AE113" t="n">
        <v>83</v>
      </c>
      <c r="AF113" t="n">
        <v>55.4</v>
      </c>
      <c r="AG113" t="inlineStr">
        <is>
          <t>C</t>
        </is>
      </c>
    </row>
    <row r="114">
      <c r="A114" t="inlineStr">
        <is>
          <t>A460470</t>
        </is>
      </c>
      <c r="B114" t="inlineStr">
        <is>
          <t>아이빔테크놀로지</t>
        </is>
      </c>
      <c r="C114" t="inlineStr"/>
      <c r="D114" t="inlineStr"/>
      <c r="E114" t="n">
        <v>0</v>
      </c>
      <c r="F114" t="n">
        <v>0</v>
      </c>
      <c r="G114" t="n">
        <v>2.8</v>
      </c>
      <c r="H114" t="n">
        <v>-13.3</v>
      </c>
      <c r="I114" t="n">
        <v>-38.1</v>
      </c>
      <c r="J114" t="n">
        <v>-5.3</v>
      </c>
      <c r="K114" t="n">
        <v>3740</v>
      </c>
      <c r="L114" t="n">
        <v>120039</v>
      </c>
      <c r="M114" t="n">
        <v>4.4894586</v>
      </c>
      <c r="N114" t="n">
        <v>258047.2</v>
      </c>
      <c r="O114" t="n">
        <v>0.4651823387349291</v>
      </c>
      <c r="P114" t="n">
        <v>6.210957518403752</v>
      </c>
      <c r="Q114" t="n">
        <v>47.10434492198915</v>
      </c>
      <c r="R114" t="n">
        <v>65.03590688542722</v>
      </c>
      <c r="S114" t="n">
        <v>-17.9</v>
      </c>
      <c r="T114" t="n">
        <v>6.857142857142851</v>
      </c>
      <c r="U114" t="n">
        <v>-3.608247422680412</v>
      </c>
      <c r="V114" t="n">
        <v>4047</v>
      </c>
      <c r="W114" t="n">
        <v>4126.75</v>
      </c>
      <c r="X114" t="n">
        <v>3675.833333333333</v>
      </c>
      <c r="Y114" t="n">
        <v>0</v>
      </c>
      <c r="Z114" t="n">
        <v>0</v>
      </c>
      <c r="AA114" t="n">
        <v>1</v>
      </c>
      <c r="AB114" t="n">
        <v>1277.386723786204</v>
      </c>
      <c r="AC114" t="n">
        <v>73.09999999999999</v>
      </c>
      <c r="AD114" t="n">
        <v>48.6</v>
      </c>
      <c r="AE114" t="n">
        <v>18.5</v>
      </c>
      <c r="AF114" t="n">
        <v>49.9</v>
      </c>
      <c r="AG114" t="inlineStr">
        <is>
          <t>D</t>
        </is>
      </c>
    </row>
    <row r="115">
      <c r="A115" t="inlineStr">
        <is>
          <t>A460940</t>
        </is>
      </c>
      <c r="B115" t="inlineStr">
        <is>
          <t>피앤에스로보틱스</t>
        </is>
      </c>
      <c r="C115" t="inlineStr"/>
      <c r="D115" t="inlineStr"/>
      <c r="E115" t="n">
        <v>0</v>
      </c>
      <c r="F115" t="n">
        <v>-0.1</v>
      </c>
      <c r="G115" t="n">
        <v>-0.4</v>
      </c>
      <c r="H115" t="n">
        <v>-3</v>
      </c>
      <c r="I115" t="n">
        <v>-38.7</v>
      </c>
      <c r="J115" t="n">
        <v>-333.6</v>
      </c>
      <c r="K115" t="n">
        <v>6300</v>
      </c>
      <c r="L115" t="n">
        <v>171145</v>
      </c>
      <c r="M115" t="n">
        <v>10.782135</v>
      </c>
      <c r="N115" t="n">
        <v>515684</v>
      </c>
      <c r="O115" t="n">
        <v>0.3318796006856912</v>
      </c>
      <c r="P115" t="n">
        <v>5.15764265747902</v>
      </c>
      <c r="Q115" t="n">
        <v>34.7599180137182</v>
      </c>
      <c r="R115" t="n">
        <v>30.88711831669345</v>
      </c>
      <c r="S115" t="n">
        <v>3.9</v>
      </c>
      <c r="T115" t="n">
        <v>-4.545454545454541</v>
      </c>
      <c r="U115" t="n">
        <v>-22.98288508557457</v>
      </c>
      <c r="V115" t="n">
        <v>7255</v>
      </c>
      <c r="W115" t="n">
        <v>8000</v>
      </c>
      <c r="X115" t="n">
        <v>8027.833333333333</v>
      </c>
      <c r="Y115" t="n">
        <v>0</v>
      </c>
      <c r="Z115" t="n">
        <v>0</v>
      </c>
      <c r="AA115" t="n">
        <v>0</v>
      </c>
      <c r="AB115" t="n">
        <v>3765.08055411134</v>
      </c>
      <c r="AC115" t="n">
        <v>37.3</v>
      </c>
      <c r="AD115" t="n">
        <v>41.7</v>
      </c>
      <c r="AE115" t="n">
        <v>11.1</v>
      </c>
      <c r="AF115" t="n">
        <v>34.3</v>
      </c>
      <c r="AG115" t="inlineStr">
        <is>
          <t>D</t>
        </is>
      </c>
    </row>
    <row r="116">
      <c r="A116" t="inlineStr">
        <is>
          <t>A062040</t>
        </is>
      </c>
      <c r="B116" t="inlineStr">
        <is>
          <t>산일전기</t>
        </is>
      </c>
      <c r="C116" t="inlineStr"/>
      <c r="D116" t="inlineStr"/>
      <c r="E116" t="n">
        <v>-903.7</v>
      </c>
      <c r="F116" t="n">
        <v>-6380.2</v>
      </c>
      <c r="G116" t="n">
        <v>-3669.1</v>
      </c>
      <c r="H116" t="n">
        <v>763.9</v>
      </c>
      <c r="I116" t="n">
        <v>5591.3</v>
      </c>
      <c r="J116" t="n">
        <v>9238.799999999999</v>
      </c>
      <c r="K116" t="n">
        <v>225000</v>
      </c>
      <c r="L116" t="n">
        <v>385231</v>
      </c>
      <c r="M116" t="n">
        <v>866.76975</v>
      </c>
      <c r="N116" t="n">
        <v>534617.05</v>
      </c>
      <c r="O116" t="n">
        <v>0.7205737265581036</v>
      </c>
      <c r="P116" t="n">
        <v>7.456940642682862</v>
      </c>
      <c r="Q116" t="n">
        <v>42.01131994917845</v>
      </c>
      <c r="R116" t="n">
        <v>18.49125351282248</v>
      </c>
      <c r="S116" t="n">
        <v>23.5</v>
      </c>
      <c r="T116" t="n">
        <v>-9.090909090909093</v>
      </c>
      <c r="U116" t="n">
        <v>-15.41353383458646</v>
      </c>
      <c r="V116" t="n">
        <v>256600</v>
      </c>
      <c r="W116" t="n">
        <v>281575</v>
      </c>
      <c r="X116" t="n">
        <v>205898.3333333333</v>
      </c>
      <c r="Y116" t="n">
        <v>0</v>
      </c>
      <c r="Z116" t="n">
        <v>0</v>
      </c>
      <c r="AA116" t="n">
        <v>1</v>
      </c>
      <c r="AB116" t="n">
        <v>134434.1357026007</v>
      </c>
      <c r="AC116" t="n">
        <v>39.3</v>
      </c>
      <c r="AD116" t="n">
        <v>50.3</v>
      </c>
      <c r="AE116" t="n">
        <v>44.4</v>
      </c>
      <c r="AF116" t="n">
        <v>45.8</v>
      </c>
      <c r="AG116" t="inlineStr">
        <is>
          <t>D</t>
        </is>
      </c>
    </row>
    <row r="117">
      <c r="A117" t="inlineStr">
        <is>
          <t>A373110</t>
        </is>
      </c>
      <c r="B117" t="inlineStr">
        <is>
          <t>엑셀세라퓨틱스</t>
        </is>
      </c>
      <c r="C117" t="inlineStr"/>
      <c r="D117" t="inlineStr"/>
      <c r="E117" t="n">
        <v>0</v>
      </c>
      <c r="F117" t="n">
        <v>0.1</v>
      </c>
      <c r="G117" t="n">
        <v>8.199999999999999</v>
      </c>
      <c r="H117" t="n">
        <v>9.300000000000001</v>
      </c>
      <c r="I117" t="n">
        <v>-8.9</v>
      </c>
      <c r="J117" t="n">
        <v>-74.3</v>
      </c>
      <c r="K117" t="n">
        <v>1475</v>
      </c>
      <c r="L117" t="n">
        <v>328185</v>
      </c>
      <c r="M117" t="n">
        <v>4.84072875</v>
      </c>
      <c r="N117" t="n">
        <v>960204</v>
      </c>
      <c r="O117" t="n">
        <v>0.3417867453166202</v>
      </c>
      <c r="P117" t="n">
        <v>7.723780190371755</v>
      </c>
      <c r="Q117" t="n">
        <v>48.63441259164367</v>
      </c>
      <c r="R117" t="n">
        <v>42.8276887428277</v>
      </c>
      <c r="S117" t="n">
        <v>5.8</v>
      </c>
      <c r="T117" t="n">
        <v>-3.088042049934292</v>
      </c>
      <c r="U117" t="n">
        <v>-12.1500893388922</v>
      </c>
      <c r="V117" t="n">
        <v>1521.4</v>
      </c>
      <c r="W117" t="n">
        <v>1501.6</v>
      </c>
      <c r="X117" t="n">
        <v>1493.733333333333</v>
      </c>
      <c r="Y117" t="n">
        <v>0</v>
      </c>
      <c r="Z117" t="n">
        <v>0</v>
      </c>
      <c r="AA117" t="n">
        <v>0</v>
      </c>
      <c r="AB117" t="n">
        <v>508.5465770729661</v>
      </c>
      <c r="AC117" t="n">
        <v>56.7</v>
      </c>
      <c r="AD117" t="n">
        <v>58.8</v>
      </c>
      <c r="AE117" t="n">
        <v>13.3</v>
      </c>
      <c r="AF117" t="n">
        <v>49.1</v>
      </c>
      <c r="AG117" t="inlineStr">
        <is>
          <t>D</t>
        </is>
      </c>
    </row>
    <row r="118">
      <c r="A118" t="inlineStr">
        <is>
          <t>A462870</t>
        </is>
      </c>
      <c r="B118" t="inlineStr">
        <is>
          <t>시프트업</t>
        </is>
      </c>
      <c r="C118" t="inlineStr"/>
      <c r="D118" t="inlineStr"/>
      <c r="E118" t="n">
        <v>48.3</v>
      </c>
      <c r="F118" t="n">
        <v>6.8</v>
      </c>
      <c r="G118" t="n">
        <v>-390.5</v>
      </c>
      <c r="H118" t="n">
        <v>9.9</v>
      </c>
      <c r="I118" t="n">
        <v>-71.8</v>
      </c>
      <c r="J118" t="n">
        <v>-326.1</v>
      </c>
      <c r="K118" t="n">
        <v>30450</v>
      </c>
      <c r="L118" t="n">
        <v>140695</v>
      </c>
      <c r="M118" t="n">
        <v>42.8416275</v>
      </c>
      <c r="N118" t="n">
        <v>85025.7</v>
      </c>
      <c r="O118" t="n">
        <v>1.654734980129537</v>
      </c>
      <c r="P118" t="n">
        <v>2.314995159841359</v>
      </c>
      <c r="Q118" t="n">
        <v>51.64041833499342</v>
      </c>
      <c r="R118" t="n">
        <v>30.8904435050417</v>
      </c>
      <c r="S118" t="n">
        <v>20.7</v>
      </c>
      <c r="T118" t="n">
        <v>4.10256410256411</v>
      </c>
      <c r="U118" t="n">
        <v>-6.451612903225806</v>
      </c>
      <c r="V118" t="n">
        <v>29050</v>
      </c>
      <c r="W118" t="n">
        <v>30087.5</v>
      </c>
      <c r="X118" t="n">
        <v>31590.83333333333</v>
      </c>
      <c r="Y118" t="n">
        <v>1</v>
      </c>
      <c r="Z118" t="n">
        <v>1</v>
      </c>
      <c r="AA118" t="n">
        <v>0</v>
      </c>
      <c r="AB118" t="n">
        <v>5863.67048690045</v>
      </c>
      <c r="AC118" t="n">
        <v>91.8</v>
      </c>
      <c r="AD118" t="n">
        <v>52.6</v>
      </c>
      <c r="AE118" t="n">
        <v>90.40000000000001</v>
      </c>
      <c r="AF118" t="n">
        <v>71.90000000000001</v>
      </c>
      <c r="AG118" t="inlineStr">
        <is>
          <t>B</t>
        </is>
      </c>
    </row>
    <row r="119">
      <c r="A119" t="inlineStr">
        <is>
          <t>A450330</t>
        </is>
      </c>
      <c r="B119" t="inlineStr">
        <is>
          <t>하스</t>
        </is>
      </c>
      <c r="C119" t="inlineStr"/>
      <c r="D119" t="inlineStr"/>
      <c r="E119" t="n">
        <v>0</v>
      </c>
      <c r="F119" t="n">
        <v>-0.3</v>
      </c>
      <c r="G119" t="n">
        <v>-4.7</v>
      </c>
      <c r="H119" t="n">
        <v>-3.4</v>
      </c>
      <c r="I119" t="n">
        <v>-8</v>
      </c>
      <c r="J119" t="n">
        <v>3.9</v>
      </c>
      <c r="K119" t="n">
        <v>5520</v>
      </c>
      <c r="L119" t="n">
        <v>33095</v>
      </c>
      <c r="M119" t="n">
        <v>1.826844</v>
      </c>
      <c r="N119" t="n">
        <v>125449.75</v>
      </c>
      <c r="O119" t="n">
        <v>0.2638108087102605</v>
      </c>
      <c r="P119" t="n">
        <v>3.612377272112095</v>
      </c>
      <c r="Q119" t="n">
        <v>32.30138127835011</v>
      </c>
      <c r="R119" t="n">
        <v>54.61054922327825</v>
      </c>
      <c r="S119" t="n">
        <v>-22.3</v>
      </c>
      <c r="T119" t="n">
        <v>0.1814882032667775</v>
      </c>
      <c r="U119" t="n">
        <v>-22.6890756302521</v>
      </c>
      <c r="V119" t="n">
        <v>6172</v>
      </c>
      <c r="W119" t="n">
        <v>6652.5</v>
      </c>
      <c r="X119" t="n">
        <v>6756.166666666667</v>
      </c>
      <c r="Y119" t="n">
        <v>0</v>
      </c>
      <c r="Z119" t="n">
        <v>0</v>
      </c>
      <c r="AA119" t="n">
        <v>0</v>
      </c>
      <c r="AB119" t="n">
        <v>2522.217069835271</v>
      </c>
      <c r="AC119" t="n">
        <v>47.6</v>
      </c>
      <c r="AD119" t="n">
        <v>49.6</v>
      </c>
      <c r="AE119" t="n">
        <v>4.4</v>
      </c>
      <c r="AF119" t="n">
        <v>40</v>
      </c>
      <c r="AG119" t="inlineStr">
        <is>
          <t>D</t>
        </is>
      </c>
    </row>
    <row r="120">
      <c r="A120" t="inlineStr">
        <is>
          <t>A462350</t>
        </is>
      </c>
      <c r="B120" t="inlineStr">
        <is>
          <t>이노스페이스</t>
        </is>
      </c>
      <c r="C120" t="inlineStr"/>
      <c r="D120" t="inlineStr"/>
      <c r="E120" t="n">
        <v>-424</v>
      </c>
      <c r="F120" t="n">
        <v>-477.7</v>
      </c>
      <c r="G120" t="n">
        <v>89.59999999999999</v>
      </c>
      <c r="H120" t="n">
        <v>-37</v>
      </c>
      <c r="I120" t="n">
        <v>-51</v>
      </c>
      <c r="J120" t="n">
        <v>-489.4</v>
      </c>
      <c r="K120" t="n">
        <v>13570</v>
      </c>
      <c r="L120" t="n">
        <v>349564</v>
      </c>
      <c r="M120" t="n">
        <v>47.4358348</v>
      </c>
      <c r="N120" t="n">
        <v>497678.55</v>
      </c>
      <c r="O120" t="n">
        <v>0.702389122456654</v>
      </c>
      <c r="P120" t="n">
        <v>5.167539329438774</v>
      </c>
      <c r="Q120" t="n">
        <v>40.38284984904512</v>
      </c>
      <c r="R120" t="n">
        <v>30.32194697457749</v>
      </c>
      <c r="S120" t="n">
        <v>10.1</v>
      </c>
      <c r="T120" t="n">
        <v>-2.374100719424466</v>
      </c>
      <c r="U120" t="n">
        <v>-17.00305810397554</v>
      </c>
      <c r="V120" t="n">
        <v>15180</v>
      </c>
      <c r="W120" t="n">
        <v>15672.5</v>
      </c>
      <c r="X120" t="n">
        <v>15612.85</v>
      </c>
      <c r="Y120" t="n">
        <v>0</v>
      </c>
      <c r="Z120" t="n">
        <v>0</v>
      </c>
      <c r="AA120" t="n">
        <v>0</v>
      </c>
      <c r="AB120" t="n">
        <v>4082.122770788439</v>
      </c>
      <c r="AC120" t="n">
        <v>52.9</v>
      </c>
      <c r="AD120" t="n">
        <v>21</v>
      </c>
      <c r="AE120" t="n">
        <v>41.5</v>
      </c>
      <c r="AF120" t="n">
        <v>34.7</v>
      </c>
      <c r="AG120" t="inlineStr">
        <is>
          <t>D</t>
        </is>
      </c>
    </row>
    <row r="121">
      <c r="A121" t="inlineStr">
        <is>
          <t>A481850</t>
        </is>
      </c>
      <c r="B121" t="inlineStr">
        <is>
          <t>신한글로벌액티브리츠</t>
        </is>
      </c>
      <c r="C121" t="inlineStr"/>
      <c r="D121" t="inlineStr"/>
      <c r="E121" t="n">
        <v>1.7</v>
      </c>
      <c r="F121" t="n">
        <v>-3.9</v>
      </c>
      <c r="G121" t="n">
        <v>-9</v>
      </c>
      <c r="H121" t="n">
        <v>-2.9</v>
      </c>
      <c r="I121" t="n">
        <v>-4.3</v>
      </c>
      <c r="J121" t="n">
        <v>-18.4</v>
      </c>
      <c r="K121" t="n">
        <v>924</v>
      </c>
      <c r="L121" t="n">
        <v>66405</v>
      </c>
      <c r="M121" t="n">
        <v>0.6135822</v>
      </c>
      <c r="N121" t="n">
        <v>105122.5</v>
      </c>
      <c r="O121" t="n">
        <v>0.6316915978976908</v>
      </c>
      <c r="P121" t="n">
        <v>1.91757482507616</v>
      </c>
      <c r="Q121" t="n">
        <v>27.00888726450371</v>
      </c>
      <c r="R121" t="n">
        <v>16.20666312031987</v>
      </c>
      <c r="S121" t="n">
        <v>10.8</v>
      </c>
      <c r="T121" t="n">
        <v>0.1083423618634782</v>
      </c>
      <c r="U121" t="n">
        <v>-18.80492091388401</v>
      </c>
      <c r="V121" t="n">
        <v>967.6</v>
      </c>
      <c r="W121" t="n">
        <v>1007.9</v>
      </c>
      <c r="X121" t="n">
        <v>1084.733333333333</v>
      </c>
      <c r="Y121" t="n">
        <v>0</v>
      </c>
      <c r="Z121" t="n">
        <v>0</v>
      </c>
      <c r="AA121" t="n">
        <v>0</v>
      </c>
      <c r="AB121" t="n">
        <v>249.0230173254974</v>
      </c>
      <c r="AC121" t="n">
        <v>45.7</v>
      </c>
      <c r="AD121" t="n">
        <v>52</v>
      </c>
      <c r="AE121" t="n">
        <v>34.1</v>
      </c>
      <c r="AF121" t="n">
        <v>46.5</v>
      </c>
      <c r="AG121" t="inlineStr">
        <is>
          <t>D</t>
        </is>
      </c>
    </row>
    <row r="122">
      <c r="A122" t="inlineStr">
        <is>
          <t>A295310</t>
        </is>
      </c>
      <c r="B122" t="inlineStr">
        <is>
          <t>에이치브이엠</t>
        </is>
      </c>
      <c r="C122" t="inlineStr"/>
      <c r="D122" t="inlineStr"/>
      <c r="E122" t="n">
        <v>-1010.3</v>
      </c>
      <c r="F122" t="n">
        <v>-1695.9</v>
      </c>
      <c r="G122" t="n">
        <v>-323.9</v>
      </c>
      <c r="H122" t="n">
        <v>428.9</v>
      </c>
      <c r="I122" t="n">
        <v>2410.8</v>
      </c>
      <c r="J122" t="n">
        <v>4007.5</v>
      </c>
      <c r="K122" t="n">
        <v>100600</v>
      </c>
      <c r="L122" t="n">
        <v>403957</v>
      </c>
      <c r="M122" t="n">
        <v>406.380742</v>
      </c>
      <c r="N122" t="n">
        <v>421956.45</v>
      </c>
      <c r="O122" t="n">
        <v>0.9573428727064132</v>
      </c>
      <c r="P122" t="n">
        <v>9.667222112839474</v>
      </c>
      <c r="Q122" t="n">
        <v>49.90667129697422</v>
      </c>
      <c r="R122" t="n">
        <v>44.23854532108792</v>
      </c>
      <c r="S122" t="n">
        <v>5.7</v>
      </c>
      <c r="T122" t="n">
        <v>1.309164149043296</v>
      </c>
      <c r="U122" t="n">
        <v>13.03370786516854</v>
      </c>
      <c r="V122" t="n">
        <v>111020</v>
      </c>
      <c r="W122" t="n">
        <v>103920</v>
      </c>
      <c r="X122" t="n">
        <v>95645</v>
      </c>
      <c r="Y122" t="n">
        <v>0</v>
      </c>
      <c r="Z122" t="n">
        <v>0</v>
      </c>
      <c r="AA122" t="n">
        <v>1</v>
      </c>
      <c r="AB122" t="n">
        <v>53649.08985346599</v>
      </c>
      <c r="AC122" t="n">
        <v>71.40000000000001</v>
      </c>
      <c r="AD122" t="n">
        <v>51.9</v>
      </c>
      <c r="AE122" t="n">
        <v>65.2</v>
      </c>
      <c r="AF122" t="n">
        <v>60.4</v>
      </c>
      <c r="AG122" t="inlineStr">
        <is>
          <t>C</t>
        </is>
      </c>
    </row>
    <row r="123">
      <c r="A123" t="inlineStr">
        <is>
          <t>A160190</t>
        </is>
      </c>
      <c r="B123" t="inlineStr">
        <is>
          <t>하이젠알앤엠</t>
        </is>
      </c>
      <c r="C123" t="inlineStr"/>
      <c r="D123" t="inlineStr"/>
      <c r="E123" t="n">
        <v>-168.3</v>
      </c>
      <c r="F123" t="n">
        <v>-206.7</v>
      </c>
      <c r="G123" t="n">
        <v>458.7</v>
      </c>
      <c r="H123" t="n">
        <v>-328.2</v>
      </c>
      <c r="I123" t="n">
        <v>550.7</v>
      </c>
      <c r="J123" t="n">
        <v>1341.7</v>
      </c>
      <c r="K123" t="n">
        <v>30400</v>
      </c>
      <c r="L123" t="n">
        <v>236432</v>
      </c>
      <c r="M123" t="n">
        <v>71.875328</v>
      </c>
      <c r="N123" t="n">
        <v>273215.75</v>
      </c>
      <c r="O123" t="n">
        <v>0.8653673882270696</v>
      </c>
      <c r="P123" t="n">
        <v>4.580028279545871</v>
      </c>
      <c r="Q123" t="n">
        <v>37.25601392554798</v>
      </c>
      <c r="R123" t="n">
        <v>20.00822386439941</v>
      </c>
      <c r="S123" t="n">
        <v>17.2</v>
      </c>
      <c r="T123" t="n">
        <v>-3.645007923930266</v>
      </c>
      <c r="U123" t="n">
        <v>-30.27522935779817</v>
      </c>
      <c r="V123" t="n">
        <v>33770</v>
      </c>
      <c r="W123" t="n">
        <v>37557.5</v>
      </c>
      <c r="X123" t="n">
        <v>41561.66666666666</v>
      </c>
      <c r="Y123" t="n">
        <v>0</v>
      </c>
      <c r="Z123" t="n">
        <v>0</v>
      </c>
      <c r="AA123" t="n">
        <v>0</v>
      </c>
      <c r="AB123" t="n">
        <v>18555.89280780478</v>
      </c>
      <c r="AC123" t="n">
        <v>35</v>
      </c>
      <c r="AD123" t="n">
        <v>44.8</v>
      </c>
      <c r="AE123" t="n">
        <v>60</v>
      </c>
      <c r="AF123" t="n">
        <v>44.9</v>
      </c>
      <c r="AG123" t="inlineStr">
        <is>
          <t>D</t>
        </is>
      </c>
    </row>
    <row r="124">
      <c r="A124" t="inlineStr">
        <is>
          <t>A464080</t>
        </is>
      </c>
      <c r="B124" t="inlineStr">
        <is>
          <t>에스오에스랩</t>
        </is>
      </c>
      <c r="C124" t="inlineStr"/>
      <c r="D124" t="inlineStr"/>
      <c r="E124" t="n">
        <v>-19.4</v>
      </c>
      <c r="F124" t="n">
        <v>-47.5</v>
      </c>
      <c r="G124" t="n">
        <v>-99.59999999999999</v>
      </c>
      <c r="H124" t="n">
        <v>-61.5</v>
      </c>
      <c r="I124" t="n">
        <v>-56.5</v>
      </c>
      <c r="J124" t="n">
        <v>-268.1</v>
      </c>
      <c r="K124" t="n">
        <v>11930</v>
      </c>
      <c r="L124" t="n">
        <v>334462</v>
      </c>
      <c r="M124" t="n">
        <v>39.9013166</v>
      </c>
      <c r="N124" t="n">
        <v>698302.25</v>
      </c>
      <c r="O124" t="n">
        <v>0.4789645171557159</v>
      </c>
      <c r="P124" t="n">
        <v>5.21232556132288</v>
      </c>
      <c r="Q124" t="n">
        <v>38.54962544081633</v>
      </c>
      <c r="R124" t="n">
        <v>24.47969236291052</v>
      </c>
      <c r="S124" t="n">
        <v>14.1</v>
      </c>
      <c r="T124" t="n">
        <v>-1.32340777502068</v>
      </c>
      <c r="U124" t="n">
        <v>-26.40345465761875</v>
      </c>
      <c r="V124" t="n">
        <v>12881</v>
      </c>
      <c r="W124" t="n">
        <v>14496</v>
      </c>
      <c r="X124" t="n">
        <v>15371.16666666667</v>
      </c>
      <c r="Y124" t="n">
        <v>0</v>
      </c>
      <c r="Z124" t="n">
        <v>0</v>
      </c>
      <c r="AA124" t="n">
        <v>0</v>
      </c>
      <c r="AB124" t="n">
        <v>7746.895065630786</v>
      </c>
      <c r="AC124" t="n">
        <v>46.7</v>
      </c>
      <c r="AD124" t="n">
        <v>21.6</v>
      </c>
      <c r="AE124" t="n">
        <v>20.7</v>
      </c>
      <c r="AF124" t="n">
        <v>29</v>
      </c>
      <c r="AG124" t="inlineStr">
        <is>
          <t>F</t>
        </is>
      </c>
    </row>
    <row r="125">
      <c r="A125" t="inlineStr">
        <is>
          <t>A107640</t>
        </is>
      </c>
      <c r="B125" t="inlineStr">
        <is>
          <t>한중엔시에스</t>
        </is>
      </c>
      <c r="C125" t="inlineStr"/>
      <c r="D125" t="inlineStr"/>
      <c r="E125" t="n">
        <v>-272.8</v>
      </c>
      <c r="F125" t="n">
        <v>97.90000000000001</v>
      </c>
      <c r="G125" t="n">
        <v>-830.3</v>
      </c>
      <c r="H125" t="n">
        <v>-20</v>
      </c>
      <c r="I125" t="n">
        <v>-847.1</v>
      </c>
      <c r="J125" t="n">
        <v>-1104.5</v>
      </c>
      <c r="K125" t="n">
        <v>46750</v>
      </c>
      <c r="L125" t="n">
        <v>130449</v>
      </c>
      <c r="M125" t="n">
        <v>60.9849075</v>
      </c>
      <c r="N125" t="n">
        <v>191236.75</v>
      </c>
      <c r="O125" t="n">
        <v>0.6821335334343425</v>
      </c>
      <c r="P125" t="n">
        <v>7.349205516392537</v>
      </c>
      <c r="Q125" t="n">
        <v>38.94851545028821</v>
      </c>
      <c r="R125" t="n">
        <v>26.34417162686594</v>
      </c>
      <c r="S125" t="n">
        <v>12.6</v>
      </c>
      <c r="T125" t="n">
        <v>-4.689092762487257</v>
      </c>
      <c r="U125" t="n">
        <v>-30.32786885245902</v>
      </c>
      <c r="V125" t="n">
        <v>50790</v>
      </c>
      <c r="W125" t="n">
        <v>55955</v>
      </c>
      <c r="X125" t="n">
        <v>55755</v>
      </c>
      <c r="Y125" t="n">
        <v>0</v>
      </c>
      <c r="Z125" t="n">
        <v>0</v>
      </c>
      <c r="AA125" t="n">
        <v>0</v>
      </c>
      <c r="AB125" t="n">
        <v>27239.51464132091</v>
      </c>
      <c r="AC125" t="n">
        <v>34.3</v>
      </c>
      <c r="AD125" t="n">
        <v>22.4</v>
      </c>
      <c r="AE125" t="n">
        <v>37</v>
      </c>
      <c r="AF125" t="n">
        <v>28.9</v>
      </c>
      <c r="AG125" t="inlineStr">
        <is>
          <t>F</t>
        </is>
      </c>
    </row>
    <row r="126">
      <c r="A126" t="inlineStr">
        <is>
          <t>A458870</t>
        </is>
      </c>
      <c r="B126" t="inlineStr">
        <is>
          <t>씨어스테크놀로지</t>
        </is>
      </c>
      <c r="C126" t="inlineStr"/>
      <c r="D126" t="inlineStr"/>
      <c r="E126" t="n">
        <v>-71.2</v>
      </c>
      <c r="F126" t="n">
        <v>-516.9</v>
      </c>
      <c r="G126" t="n">
        <v>-1567</v>
      </c>
      <c r="H126" t="n">
        <v>120.3</v>
      </c>
      <c r="I126" t="n">
        <v>1491.9</v>
      </c>
      <c r="J126" t="n">
        <v>3164.3</v>
      </c>
      <c r="K126" t="n">
        <v>29500</v>
      </c>
      <c r="L126" t="n">
        <v>331772</v>
      </c>
      <c r="M126" t="n">
        <v>97.87273999999999</v>
      </c>
      <c r="N126" t="n">
        <v>453709.55</v>
      </c>
      <c r="O126" t="n">
        <v>0.7312431488382821</v>
      </c>
      <c r="P126" t="n">
        <v>4.955098989769882</v>
      </c>
      <c r="Q126" t="n">
        <v>30.73289426994179</v>
      </c>
      <c r="R126" t="n">
        <v>12.10850855431308</v>
      </c>
      <c r="S126" t="n">
        <v>18.6</v>
      </c>
      <c r="T126" t="n">
        <v>-6.645569620253166</v>
      </c>
      <c r="U126" t="n">
        <v>-38.09024134312697</v>
      </c>
      <c r="V126" t="n">
        <v>33445</v>
      </c>
      <c r="W126" t="n">
        <v>37395</v>
      </c>
      <c r="X126" t="n">
        <v>45784.68333333333</v>
      </c>
      <c r="Y126" t="n">
        <v>0</v>
      </c>
      <c r="Z126" t="n">
        <v>0</v>
      </c>
      <c r="AA126" t="n">
        <v>0</v>
      </c>
      <c r="AB126" t="n">
        <v>20742.82628055452</v>
      </c>
      <c r="AC126" t="n">
        <v>14.2</v>
      </c>
      <c r="AD126" t="n">
        <v>51.6</v>
      </c>
      <c r="AE126" t="n">
        <v>45.9</v>
      </c>
      <c r="AF126" t="n">
        <v>39.2</v>
      </c>
      <c r="AG126" t="inlineStr">
        <is>
          <t>D</t>
        </is>
      </c>
    </row>
    <row r="127">
      <c r="A127" t="inlineStr">
        <is>
          <t>A462510</t>
        </is>
      </c>
      <c r="B127" t="inlineStr">
        <is>
          <t>라메디텍</t>
        </is>
      </c>
      <c r="C127" t="inlineStr"/>
      <c r="D127" t="inlineStr"/>
      <c r="E127" t="n">
        <v>0.2</v>
      </c>
      <c r="F127" t="n">
        <v>0.2</v>
      </c>
      <c r="G127" t="n">
        <v>1.1</v>
      </c>
      <c r="H127" t="n">
        <v>-2.6</v>
      </c>
      <c r="I127" t="n">
        <v>0.8</v>
      </c>
      <c r="J127" t="n">
        <v>-11.9</v>
      </c>
      <c r="K127" t="n">
        <v>3215</v>
      </c>
      <c r="L127" t="n">
        <v>46270</v>
      </c>
      <c r="M127" t="n">
        <v>1.4875805</v>
      </c>
      <c r="N127" t="n">
        <v>167061.4</v>
      </c>
      <c r="O127" t="n">
        <v>0.2769640383715209</v>
      </c>
      <c r="P127" t="n">
        <v>7.7369673652168</v>
      </c>
      <c r="Q127" t="n">
        <v>32.65531158587729</v>
      </c>
      <c r="R127" t="n">
        <v>25.48974632731534</v>
      </c>
      <c r="S127" t="n">
        <v>7.2</v>
      </c>
      <c r="T127" t="n">
        <v>-2.279635258358659</v>
      </c>
      <c r="U127" t="n">
        <v>-34.65447154471545</v>
      </c>
      <c r="V127" t="n">
        <v>3830.5</v>
      </c>
      <c r="W127" t="n">
        <v>4291</v>
      </c>
      <c r="X127" t="n">
        <v>4715.916666666667</v>
      </c>
      <c r="Y127" t="n">
        <v>0</v>
      </c>
      <c r="Z127" t="n">
        <v>0</v>
      </c>
      <c r="AA127" t="n">
        <v>0</v>
      </c>
      <c r="AB127" t="n">
        <v>2467.639826998554</v>
      </c>
      <c r="AC127" t="n">
        <v>30.8</v>
      </c>
      <c r="AD127" t="n">
        <v>61.5</v>
      </c>
      <c r="AE127" t="n">
        <v>6.7</v>
      </c>
      <c r="AF127" t="n">
        <v>41.3</v>
      </c>
      <c r="AG127" t="inlineStr">
        <is>
          <t>D</t>
        </is>
      </c>
    </row>
    <row r="128">
      <c r="A128" t="inlineStr">
        <is>
          <t>A453450</t>
        </is>
      </c>
      <c r="B128" t="inlineStr">
        <is>
          <t>그리드위즈</t>
        </is>
      </c>
      <c r="C128" t="inlineStr"/>
      <c r="D128" t="inlineStr"/>
      <c r="E128" t="n">
        <v>0</v>
      </c>
      <c r="F128" t="n">
        <v>-0.7</v>
      </c>
      <c r="G128" t="n">
        <v>-10.8</v>
      </c>
      <c r="H128" t="n">
        <v>39.3</v>
      </c>
      <c r="I128" t="n">
        <v>8.4</v>
      </c>
      <c r="J128" t="n">
        <v>-87.40000000000001</v>
      </c>
      <c r="K128" t="n">
        <v>16360</v>
      </c>
      <c r="L128" t="n">
        <v>59432</v>
      </c>
      <c r="M128" t="n">
        <v>9.7230752</v>
      </c>
      <c r="N128" t="n">
        <v>174654.9</v>
      </c>
      <c r="O128" t="n">
        <v>0.3402824655935791</v>
      </c>
      <c r="P128" t="n">
        <v>4.376087654333731</v>
      </c>
      <c r="Q128" t="n">
        <v>33.47457378203772</v>
      </c>
      <c r="R128" t="n">
        <v>21.77246025335452</v>
      </c>
      <c r="S128" t="n">
        <v>11.7</v>
      </c>
      <c r="T128" t="n">
        <v>-5.10440835266821</v>
      </c>
      <c r="U128" t="n">
        <v>-34.95029821073559</v>
      </c>
      <c r="V128" t="n">
        <v>18604</v>
      </c>
      <c r="W128" t="n">
        <v>20655</v>
      </c>
      <c r="X128" t="n">
        <v>20878.5</v>
      </c>
      <c r="Y128" t="n">
        <v>0</v>
      </c>
      <c r="Z128" t="n">
        <v>0</v>
      </c>
      <c r="AA128" t="n">
        <v>0</v>
      </c>
      <c r="AB128" t="n">
        <v>10837.8712223194</v>
      </c>
      <c r="AC128" t="n">
        <v>22.2</v>
      </c>
      <c r="AD128" t="n">
        <v>57.6</v>
      </c>
      <c r="AE128" t="n">
        <v>11.9</v>
      </c>
      <c r="AF128" t="n">
        <v>37.8</v>
      </c>
      <c r="AG128" t="inlineStr">
        <is>
          <t>D</t>
        </is>
      </c>
    </row>
    <row r="129">
      <c r="A129" t="inlineStr">
        <is>
          <t>A145170</t>
        </is>
      </c>
      <c r="B129" t="inlineStr">
        <is>
          <t>노브랜드</t>
        </is>
      </c>
      <c r="C129" t="inlineStr"/>
      <c r="D129" t="inlineStr"/>
      <c r="E129" t="n">
        <v>-0.1</v>
      </c>
      <c r="F129" t="n">
        <v>0</v>
      </c>
      <c r="G129" t="n">
        <v>0</v>
      </c>
      <c r="H129" t="n">
        <v>17.3</v>
      </c>
      <c r="I129" t="n">
        <v>-1.7</v>
      </c>
      <c r="J129" t="n">
        <v>-44.7</v>
      </c>
      <c r="K129" t="n">
        <v>3860</v>
      </c>
      <c r="L129" t="n">
        <v>142419</v>
      </c>
      <c r="M129" t="n">
        <v>5.4973734</v>
      </c>
      <c r="N129" t="n">
        <v>1336612.8</v>
      </c>
      <c r="O129" t="n">
        <v>0.1065521742721602</v>
      </c>
      <c r="P129" t="n">
        <v>3.860071961980539</v>
      </c>
      <c r="Q129" t="n">
        <v>34.65097898099899</v>
      </c>
      <c r="R129" t="n">
        <v>24.90117452984511</v>
      </c>
      <c r="S129" t="n">
        <v>9.699999999999999</v>
      </c>
      <c r="T129" t="n">
        <v>-3.860523038605235</v>
      </c>
      <c r="U129" t="n">
        <v>-17.34475374732334</v>
      </c>
      <c r="V129" t="n">
        <v>4418.5</v>
      </c>
      <c r="W129" t="n">
        <v>4652.75</v>
      </c>
      <c r="X129" t="n">
        <v>4293.5</v>
      </c>
      <c r="Y129" t="n">
        <v>0</v>
      </c>
      <c r="Z129" t="n">
        <v>0</v>
      </c>
      <c r="AA129" t="n">
        <v>0</v>
      </c>
      <c r="AB129" t="n">
        <v>1425.031486263411</v>
      </c>
      <c r="AC129" t="n">
        <v>42.6</v>
      </c>
      <c r="AD129" t="n">
        <v>57.1</v>
      </c>
      <c r="AE129" t="n">
        <v>1.5</v>
      </c>
      <c r="AF129" t="n">
        <v>41.6</v>
      </c>
      <c r="AG129" t="inlineStr">
        <is>
          <t>D</t>
        </is>
      </c>
    </row>
    <row r="130">
      <c r="A130" t="inlineStr">
        <is>
          <t>A456010</t>
        </is>
      </c>
      <c r="B130" t="inlineStr">
        <is>
          <t>아이씨티케이</t>
        </is>
      </c>
      <c r="C130" t="inlineStr"/>
      <c r="D130" t="inlineStr"/>
      <c r="E130" t="n">
        <v>-16.2</v>
      </c>
      <c r="F130" t="n">
        <v>9.199999999999999</v>
      </c>
      <c r="G130" t="n">
        <v>-151.4</v>
      </c>
      <c r="H130" t="n">
        <v>573.2</v>
      </c>
      <c r="I130" t="n">
        <v>1436.5</v>
      </c>
      <c r="J130" t="n">
        <v>1250.6</v>
      </c>
      <c r="K130" t="n">
        <v>28900</v>
      </c>
      <c r="L130" t="n">
        <v>1321486</v>
      </c>
      <c r="M130" t="n">
        <v>381.909454</v>
      </c>
      <c r="N130" t="n">
        <v>2165263.65</v>
      </c>
      <c r="O130" t="n">
        <v>0.6103118204565989</v>
      </c>
      <c r="P130" t="n">
        <v>9.848721161774867</v>
      </c>
      <c r="Q130" t="n">
        <v>56.78322528876303</v>
      </c>
      <c r="R130" t="n">
        <v>59.11811534726974</v>
      </c>
      <c r="S130" t="n">
        <v>-2.3</v>
      </c>
      <c r="T130" t="n">
        <v>-5.090311986863716</v>
      </c>
      <c r="U130" t="n">
        <v>28.15964523281596</v>
      </c>
      <c r="V130" t="n">
        <v>29015</v>
      </c>
      <c r="W130" t="n">
        <v>25329.5</v>
      </c>
      <c r="X130" t="n">
        <v>19997.66666666667</v>
      </c>
      <c r="Y130" t="n">
        <v>0</v>
      </c>
      <c r="Z130" t="n">
        <v>1</v>
      </c>
      <c r="AA130" t="n">
        <v>1</v>
      </c>
      <c r="AB130" t="n">
        <v>19809.76250555057</v>
      </c>
      <c r="AC130" t="n">
        <v>56.9</v>
      </c>
      <c r="AD130" t="n">
        <v>72.09999999999999</v>
      </c>
      <c r="AE130" t="n">
        <v>32.6</v>
      </c>
      <c r="AF130" t="n">
        <v>59.6</v>
      </c>
      <c r="AG130" t="inlineStr">
        <is>
          <t>C</t>
        </is>
      </c>
    </row>
    <row r="131">
      <c r="A131" t="inlineStr">
        <is>
          <t>A443060</t>
        </is>
      </c>
      <c r="B131" t="inlineStr">
        <is>
          <t>HD현대마린솔루션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227000</v>
      </c>
      <c r="L131" t="n">
        <v>255848</v>
      </c>
      <c r="M131" t="n">
        <v>580.77496</v>
      </c>
      <c r="N131" t="n">
        <v>364740.2</v>
      </c>
      <c r="O131" t="n">
        <v>0.7014527052406069</v>
      </c>
      <c r="P131" t="n">
        <v>5.944411379641497</v>
      </c>
      <c r="Q131" t="n">
        <v>49.53212280490514</v>
      </c>
      <c r="R131" t="n">
        <v>33.79539319554417</v>
      </c>
      <c r="S131" t="n">
        <v>15.7</v>
      </c>
      <c r="T131" t="n">
        <v>-2.575107296137336</v>
      </c>
      <c r="U131" t="n">
        <v>-14.50094161958569</v>
      </c>
      <c r="V131" t="n">
        <v>232300</v>
      </c>
      <c r="W131" t="n">
        <v>237950</v>
      </c>
      <c r="X131" t="n">
        <v>208696.6666666667</v>
      </c>
      <c r="Y131" t="n">
        <v>0</v>
      </c>
      <c r="Z131" t="n">
        <v>0</v>
      </c>
      <c r="AA131" t="n">
        <v>1</v>
      </c>
      <c r="AB131" t="n">
        <v>69093.07224012364</v>
      </c>
      <c r="AC131" t="n">
        <v>56.5</v>
      </c>
      <c r="AD131" t="n">
        <v>50</v>
      </c>
      <c r="AE131" t="n">
        <v>40.7</v>
      </c>
      <c r="AF131" t="n">
        <v>50.1</v>
      </c>
      <c r="AG131" t="inlineStr">
        <is>
          <t>C</t>
        </is>
      </c>
    </row>
    <row r="132">
      <c r="A132" t="inlineStr">
        <is>
          <t>A126730</t>
        </is>
      </c>
      <c r="B132" t="inlineStr">
        <is>
          <t>코칩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24700</v>
      </c>
      <c r="L132" t="n">
        <v>713801</v>
      </c>
      <c r="M132" t="n">
        <v>176.308847</v>
      </c>
      <c r="N132" t="n">
        <v>1614588</v>
      </c>
      <c r="O132" t="n">
        <v>0.4420948254291497</v>
      </c>
      <c r="P132" t="n">
        <v>9.417040060986102</v>
      </c>
      <c r="Q132" t="n">
        <v>58.00663931458701</v>
      </c>
      <c r="R132" t="n">
        <v>62.60106484601528</v>
      </c>
      <c r="S132" t="n">
        <v>-4.6</v>
      </c>
      <c r="T132" t="n">
        <v>-1.984126984126988</v>
      </c>
      <c r="U132" t="n">
        <v>17.89976133651551</v>
      </c>
      <c r="V132" t="n">
        <v>23760</v>
      </c>
      <c r="W132" t="n">
        <v>21564</v>
      </c>
      <c r="X132" t="n">
        <v>19712</v>
      </c>
      <c r="Y132" t="n">
        <v>1</v>
      </c>
      <c r="Z132" t="n">
        <v>1</v>
      </c>
      <c r="AA132" t="n">
        <v>1</v>
      </c>
      <c r="AB132" t="n">
        <v>16441.15708567343</v>
      </c>
      <c r="AC132" t="n">
        <v>85.7</v>
      </c>
      <c r="AD132" t="n">
        <v>50</v>
      </c>
      <c r="AE132" t="n">
        <v>17</v>
      </c>
      <c r="AF132" t="n">
        <v>54.1</v>
      </c>
      <c r="AG132" t="inlineStr">
        <is>
          <t>C</t>
        </is>
      </c>
    </row>
    <row r="133">
      <c r="A133" t="inlineStr">
        <is>
          <t>A452200</t>
        </is>
      </c>
      <c r="B133" t="inlineStr">
        <is>
          <t>민테크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2970</v>
      </c>
      <c r="L133" t="n">
        <v>514973</v>
      </c>
      <c r="M133" t="n">
        <v>15.2946981</v>
      </c>
      <c r="N133" t="n">
        <v>2090599.65</v>
      </c>
      <c r="O133" t="n">
        <v>0.2463278897037986</v>
      </c>
      <c r="P133" t="n">
        <v>9.436707848364467</v>
      </c>
      <c r="Q133" t="n">
        <v>42.74771506987264</v>
      </c>
      <c r="R133" t="n">
        <v>35.46103317405795</v>
      </c>
      <c r="S133" t="n">
        <v>7.3</v>
      </c>
      <c r="T133" t="n">
        <v>-6.896551724137934</v>
      </c>
      <c r="U133" t="n">
        <v>7.414104882459313</v>
      </c>
      <c r="V133" t="n">
        <v>3595.5</v>
      </c>
      <c r="W133" t="n">
        <v>3639.5</v>
      </c>
      <c r="X133" t="n">
        <v>2833.333333333333</v>
      </c>
      <c r="Y133" t="n">
        <v>0</v>
      </c>
      <c r="Z133" t="n">
        <v>0</v>
      </c>
      <c r="AA133" t="n">
        <v>1</v>
      </c>
      <c r="AB133" t="n">
        <v>2305.808683349624</v>
      </c>
      <c r="AC133" t="n">
        <v>47.7</v>
      </c>
      <c r="AD133" t="n">
        <v>50</v>
      </c>
      <c r="AE133" t="n">
        <v>3.7</v>
      </c>
      <c r="AF133" t="n">
        <v>40.1</v>
      </c>
      <c r="AG133" t="inlineStr">
        <is>
          <t>D</t>
        </is>
      </c>
    </row>
    <row r="134">
      <c r="A134" t="inlineStr">
        <is>
          <t>A347850</t>
        </is>
      </c>
      <c r="B134" t="inlineStr">
        <is>
          <t>디앤디파마텍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84100</v>
      </c>
      <c r="L134" t="n">
        <v>2284744</v>
      </c>
      <c r="M134" t="n">
        <v>1921.469704</v>
      </c>
      <c r="N134" t="n">
        <v>1278959.45</v>
      </c>
      <c r="O134" t="n">
        <v>1.786408474482909</v>
      </c>
      <c r="P134" t="n">
        <v>7.909984822691955</v>
      </c>
      <c r="Q134" t="n">
        <v>55.83938138155945</v>
      </c>
      <c r="R134" t="n">
        <v>47.53001443307836</v>
      </c>
      <c r="S134" t="n">
        <v>8.300000000000001</v>
      </c>
      <c r="T134" t="n">
        <v>1.203369434416368</v>
      </c>
      <c r="U134" t="n">
        <v>13.34231805929919</v>
      </c>
      <c r="V134" t="n">
        <v>79430</v>
      </c>
      <c r="W134" t="n">
        <v>74630</v>
      </c>
      <c r="X134" t="n">
        <v>76413.33333333333</v>
      </c>
      <c r="Y134" t="n">
        <v>1</v>
      </c>
      <c r="Z134" t="n">
        <v>1</v>
      </c>
      <c r="AA134" t="n">
        <v>1</v>
      </c>
      <c r="AB134" t="n">
        <v>51979.93135006909</v>
      </c>
      <c r="AC134" t="n">
        <v>92</v>
      </c>
      <c r="AD134" t="n">
        <v>50</v>
      </c>
      <c r="AE134" t="n">
        <v>94.09999999999999</v>
      </c>
      <c r="AF134" t="n">
        <v>71.40000000000001</v>
      </c>
      <c r="AG134" t="inlineStr">
        <is>
          <t>B</t>
        </is>
      </c>
    </row>
    <row r="135">
      <c r="A135" t="inlineStr">
        <is>
          <t>A412540</t>
        </is>
      </c>
      <c r="B135" t="inlineStr">
        <is>
          <t>제일엠앤에스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3935</v>
      </c>
      <c r="L135" t="n">
        <v>0</v>
      </c>
      <c r="M135" t="inlineStr"/>
      <c r="N135" t="n">
        <v>0</v>
      </c>
      <c r="O135" t="inlineStr"/>
      <c r="P135" t="n">
        <v>0</v>
      </c>
      <c r="Q135" t="inlineStr"/>
      <c r="R135" t="inlineStr"/>
      <c r="S135" t="inlineStr"/>
      <c r="T135" t="n">
        <v>0</v>
      </c>
      <c r="U135" t="n">
        <v>0</v>
      </c>
      <c r="V135" t="n">
        <v>3935</v>
      </c>
      <c r="W135" t="n">
        <v>3935</v>
      </c>
      <c r="X135" t="n">
        <v>3935</v>
      </c>
      <c r="Y135" t="n">
        <v>0</v>
      </c>
      <c r="Z135" t="n">
        <v>0</v>
      </c>
      <c r="AA135" t="n">
        <v>0</v>
      </c>
      <c r="AB135" t="n">
        <v>0</v>
      </c>
      <c r="AC135" t="n">
        <v>59.6</v>
      </c>
      <c r="AD135" t="n">
        <v>50</v>
      </c>
      <c r="AE135" t="n">
        <v>50</v>
      </c>
      <c r="AF135" t="n">
        <v>52.9</v>
      </c>
      <c r="AG135" t="inlineStr">
        <is>
          <t>C</t>
        </is>
      </c>
    </row>
    <row r="136">
      <c r="A136" t="inlineStr">
        <is>
          <t>A461030</t>
        </is>
      </c>
      <c r="B136" t="inlineStr">
        <is>
          <t>아이엠비디엑스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4530</v>
      </c>
      <c r="L136" t="n">
        <v>71254</v>
      </c>
      <c r="M136" t="n">
        <v>3.2278062</v>
      </c>
      <c r="N136" t="n">
        <v>71217.55</v>
      </c>
      <c r="O136" t="n">
        <v>1.000511812046328</v>
      </c>
      <c r="P136" t="n">
        <v>2.935838399782376</v>
      </c>
      <c r="Q136" t="n">
        <v>27.0281766777476</v>
      </c>
      <c r="R136" t="n">
        <v>8.309773085238714</v>
      </c>
      <c r="S136" t="n">
        <v>18.7</v>
      </c>
      <c r="T136" t="n">
        <v>0.2212389380531032</v>
      </c>
      <c r="U136" t="n">
        <v>-34.91379310344828</v>
      </c>
      <c r="V136" t="n">
        <v>5103.5</v>
      </c>
      <c r="W136" t="n">
        <v>5717.75</v>
      </c>
      <c r="X136" t="n">
        <v>6449.25</v>
      </c>
      <c r="Y136" t="n">
        <v>0</v>
      </c>
      <c r="Z136" t="n">
        <v>0</v>
      </c>
      <c r="AA136" t="n">
        <v>0</v>
      </c>
      <c r="AB136" t="n">
        <v>3016.421546695419</v>
      </c>
      <c r="AC136" t="n">
        <v>32.2</v>
      </c>
      <c r="AD136" t="n">
        <v>50</v>
      </c>
      <c r="AE136" t="n">
        <v>68.09999999999999</v>
      </c>
      <c r="AF136" t="n">
        <v>48.3</v>
      </c>
      <c r="AG136" t="inlineStr">
        <is>
          <t>D</t>
        </is>
      </c>
    </row>
    <row r="137">
      <c r="A137" t="inlineStr">
        <is>
          <t>A455900</t>
        </is>
      </c>
      <c r="B137" t="inlineStr">
        <is>
          <t>엔젤로보틱스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29300</v>
      </c>
      <c r="L137" t="n">
        <v>394930</v>
      </c>
      <c r="M137" t="n">
        <v>115.71449</v>
      </c>
      <c r="N137" t="n">
        <v>163425.15</v>
      </c>
      <c r="O137" t="n">
        <v>2.416580312149017</v>
      </c>
      <c r="P137" t="n">
        <v>5.428130962371909</v>
      </c>
      <c r="Q137" t="n">
        <v>54.70050141779404</v>
      </c>
      <c r="R137" t="n">
        <v>48.59337956164338</v>
      </c>
      <c r="S137" t="n">
        <v>6.1</v>
      </c>
      <c r="T137" t="n">
        <v>-7.278481012658233</v>
      </c>
      <c r="U137" t="n">
        <v>-3.459637561779242</v>
      </c>
      <c r="V137" t="n">
        <v>27345</v>
      </c>
      <c r="W137" t="n">
        <v>28237.5</v>
      </c>
      <c r="X137" t="n">
        <v>27900</v>
      </c>
      <c r="Y137" t="n">
        <v>1</v>
      </c>
      <c r="Z137" t="n">
        <v>1</v>
      </c>
      <c r="AA137" t="n">
        <v>1</v>
      </c>
      <c r="AB137" t="n">
        <v>6825.301227206408</v>
      </c>
      <c r="AC137" t="n">
        <v>68.2</v>
      </c>
      <c r="AD137" t="n">
        <v>50</v>
      </c>
      <c r="AE137" t="n">
        <v>96.3</v>
      </c>
      <c r="AF137" t="n">
        <v>64.7</v>
      </c>
      <c r="AG137" t="inlineStr">
        <is>
          <t>C</t>
        </is>
      </c>
    </row>
    <row r="138">
      <c r="A138" t="inlineStr">
        <is>
          <t>A437730</t>
        </is>
      </c>
      <c r="B138" t="inlineStr">
        <is>
          <t>삼현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48800</v>
      </c>
      <c r="L138" t="n">
        <v>288401</v>
      </c>
      <c r="M138" t="n">
        <v>140.739688</v>
      </c>
      <c r="N138" t="n">
        <v>390857.75</v>
      </c>
      <c r="O138" t="n">
        <v>0.7378669093807146</v>
      </c>
      <c r="P138" t="n">
        <v>5.186483426106993</v>
      </c>
      <c r="Q138" t="n">
        <v>44.48227129373064</v>
      </c>
      <c r="R138" t="n">
        <v>35.71422604643958</v>
      </c>
      <c r="S138" t="n">
        <v>8.800000000000001</v>
      </c>
      <c r="T138" t="n">
        <v>-6.153846153846154</v>
      </c>
      <c r="U138" t="n">
        <v>-8.785046728971963</v>
      </c>
      <c r="V138" t="n">
        <v>54240</v>
      </c>
      <c r="W138" t="n">
        <v>54065</v>
      </c>
      <c r="X138" t="n">
        <v>52233.33333333334</v>
      </c>
      <c r="Y138" t="n">
        <v>0</v>
      </c>
      <c r="Z138" t="n">
        <v>0</v>
      </c>
      <c r="AA138" t="n">
        <v>0</v>
      </c>
      <c r="AB138" t="n">
        <v>12068.07009382505</v>
      </c>
      <c r="AC138" t="n">
        <v>48.1</v>
      </c>
      <c r="AD138" t="n">
        <v>50</v>
      </c>
      <c r="AE138" t="n">
        <v>47.4</v>
      </c>
      <c r="AF138" t="n">
        <v>48.9</v>
      </c>
      <c r="AG138" t="inlineStr">
        <is>
          <t>D</t>
        </is>
      </c>
    </row>
    <row r="139">
      <c r="A139" t="inlineStr">
        <is>
          <t>A036220</t>
        </is>
      </c>
      <c r="B139" t="inlineStr">
        <is>
          <t>오상헬스케어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6890</v>
      </c>
      <c r="L139" t="n">
        <v>66002</v>
      </c>
      <c r="M139" t="n">
        <v>4.5475378</v>
      </c>
      <c r="N139" t="n">
        <v>202486.75</v>
      </c>
      <c r="O139" t="n">
        <v>0.3259571305282938</v>
      </c>
      <c r="P139" t="n">
        <v>5.901640119819866</v>
      </c>
      <c r="Q139" t="n">
        <v>34.96935506168831</v>
      </c>
      <c r="R139" t="n">
        <v>15.51436880107119</v>
      </c>
      <c r="S139" t="n">
        <v>19.5</v>
      </c>
      <c r="T139" t="n">
        <v>2.377414561664182</v>
      </c>
      <c r="U139" t="n">
        <v>-24.03528114663727</v>
      </c>
      <c r="V139" t="n">
        <v>7307</v>
      </c>
      <c r="W139" t="n">
        <v>8017.5</v>
      </c>
      <c r="X139" t="n">
        <v>8867</v>
      </c>
      <c r="Y139" t="n">
        <v>0</v>
      </c>
      <c r="Z139" t="n">
        <v>0</v>
      </c>
      <c r="AA139" t="n">
        <v>0</v>
      </c>
      <c r="AB139" t="n">
        <v>3282.101380774836</v>
      </c>
      <c r="AC139" t="n">
        <v>52.2</v>
      </c>
      <c r="AD139" t="n">
        <v>50</v>
      </c>
      <c r="AE139" t="n">
        <v>10.4</v>
      </c>
      <c r="AF139" t="n">
        <v>42.7</v>
      </c>
      <c r="AG139" t="inlineStr">
        <is>
          <t>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</cols>
  <sheetData>
    <row r="1">
      <c r="A1" s="20" t="inlineStr">
        <is>
          <t>코드</t>
        </is>
      </c>
      <c r="B1" s="20" t="inlineStr">
        <is>
          <t>코드명</t>
        </is>
      </c>
      <c r="C1" s="20" t="inlineStr">
        <is>
          <t>상장일</t>
        </is>
      </c>
      <c r="D1" s="20" t="inlineStr">
        <is>
          <t>days_since_ipo</t>
        </is>
      </c>
      <c r="E1" s="20" t="inlineStr">
        <is>
          <t>기관_일간</t>
        </is>
      </c>
      <c r="F1" s="20" t="inlineStr">
        <is>
          <t>기관_5일</t>
        </is>
      </c>
      <c r="G1" s="20" t="inlineStr">
        <is>
          <t>기관_20일</t>
        </is>
      </c>
      <c r="H1" s="20" t="inlineStr">
        <is>
          <t>외국인_일간</t>
        </is>
      </c>
      <c r="I1" s="20" t="inlineStr">
        <is>
          <t>외국인_5일</t>
        </is>
      </c>
      <c r="J1" s="20" t="inlineStr">
        <is>
          <t>외국인_20일</t>
        </is>
      </c>
      <c r="K1" s="20" t="inlineStr">
        <is>
          <t>현재가</t>
        </is>
      </c>
      <c r="L1" s="20" t="inlineStr">
        <is>
          <t>거래량</t>
        </is>
      </c>
      <c r="M1" s="20" t="inlineStr">
        <is>
          <t>거래대금(억)</t>
        </is>
      </c>
      <c r="N1" s="20" t="inlineStr">
        <is>
          <t>20일평균거래량</t>
        </is>
      </c>
      <c r="O1" s="20" t="inlineStr">
        <is>
          <t>RVOL(20)</t>
        </is>
      </c>
      <c r="P1" s="20" t="inlineStr">
        <is>
          <t>변동성(30D)</t>
        </is>
      </c>
      <c r="Q1" s="20" t="inlineStr">
        <is>
          <t>RSI(14)</t>
        </is>
      </c>
      <c r="R1" s="20" t="inlineStr">
        <is>
          <t>전일RSI(14)</t>
        </is>
      </c>
      <c r="S1" s="20" t="inlineStr">
        <is>
          <t>RSI변화량</t>
        </is>
      </c>
      <c r="T1" s="20" t="inlineStr">
        <is>
          <t>1일수익률(%)</t>
        </is>
      </c>
      <c r="U1" s="20" t="inlineStr">
        <is>
          <t>20일수익률(%)</t>
        </is>
      </c>
      <c r="V1" s="20" t="inlineStr">
        <is>
          <t>10일이평</t>
        </is>
      </c>
      <c r="W1" s="20" t="inlineStr">
        <is>
          <t>20일이평</t>
        </is>
      </c>
      <c r="X1" s="20" t="inlineStr">
        <is>
          <t>60일이평</t>
        </is>
      </c>
      <c r="Y1" s="20" t="inlineStr">
        <is>
          <t>10일선돌파</t>
        </is>
      </c>
      <c r="Z1" s="20" t="inlineStr">
        <is>
          <t>20일선돌파</t>
        </is>
      </c>
      <c r="AA1" s="20" t="inlineStr">
        <is>
          <t>60일선돌파</t>
        </is>
      </c>
      <c r="AB1" s="20" t="inlineStr">
        <is>
          <t>BB폭</t>
        </is>
      </c>
      <c r="AC1" s="20" t="inlineStr">
        <is>
          <t>모멘텀스코어</t>
        </is>
      </c>
      <c r="AD1" s="20" t="inlineStr">
        <is>
          <t>수급스코어</t>
        </is>
      </c>
      <c r="AE1" s="20" t="inlineStr">
        <is>
          <t>거래량스코어</t>
        </is>
      </c>
      <c r="AF1" s="20" t="inlineStr">
        <is>
          <t>종합스코어</t>
        </is>
      </c>
      <c r="AG1" s="20" t="inlineStr">
        <is>
          <t>등급</t>
        </is>
      </c>
    </row>
    <row r="2">
      <c r="A2" t="inlineStr">
        <is>
          <t>A458350</t>
        </is>
      </c>
      <c r="B2" t="inlineStr">
        <is>
          <t>에스팀</t>
        </is>
      </c>
      <c r="C2" t="inlineStr"/>
      <c r="D2" t="inlineStr"/>
      <c r="E2" t="n">
        <v>0.2</v>
      </c>
      <c r="F2" t="n">
        <v>-3.7</v>
      </c>
      <c r="G2" t="n">
        <v>-7.1</v>
      </c>
      <c r="H2" t="n">
        <v>10.5</v>
      </c>
      <c r="I2" t="n">
        <v>22</v>
      </c>
      <c r="J2" t="n">
        <v>28.1</v>
      </c>
      <c r="K2" t="n">
        <v>5590</v>
      </c>
      <c r="L2" t="n">
        <v>16455</v>
      </c>
      <c r="M2" t="n">
        <v>0.9198345</v>
      </c>
      <c r="N2" t="n">
        <v>66784.85000000001</v>
      </c>
      <c r="O2" t="n">
        <v>0.2463882152913422</v>
      </c>
      <c r="P2" t="n">
        <v>2.540304052891328</v>
      </c>
      <c r="Q2" t="n">
        <v>8.492004311094709</v>
      </c>
      <c r="R2" t="n">
        <v>5.552359358322344</v>
      </c>
      <c r="S2" t="n">
        <v>2.9</v>
      </c>
      <c r="T2" t="n">
        <v>1.084990958408683</v>
      </c>
      <c r="U2" t="n">
        <v>-38.16371681415929</v>
      </c>
      <c r="V2" t="n">
        <v>6232</v>
      </c>
      <c r="W2" t="n">
        <v>7077</v>
      </c>
      <c r="X2" t="n">
        <v>10112.83333333333</v>
      </c>
      <c r="Y2" t="n">
        <v>0</v>
      </c>
      <c r="Z2" t="n">
        <v>0</v>
      </c>
      <c r="AA2" t="n">
        <v>0</v>
      </c>
      <c r="AB2" t="n">
        <v>4211.545034657378</v>
      </c>
      <c r="AC2" t="n">
        <v>24.5</v>
      </c>
      <c r="AD2" t="n">
        <v>60.8</v>
      </c>
      <c r="AE2" t="n">
        <v>16.3</v>
      </c>
      <c r="AF2" t="n">
        <v>41</v>
      </c>
      <c r="AG2" t="inlineStr">
        <is>
          <t>D</t>
        </is>
      </c>
    </row>
    <row r="3">
      <c r="A3" t="inlineStr">
        <is>
          <t>A475560</t>
        </is>
      </c>
      <c r="B3" t="inlineStr">
        <is>
          <t>더본코리아</t>
        </is>
      </c>
      <c r="C3" t="inlineStr"/>
      <c r="D3" t="inlineStr"/>
      <c r="E3" t="n">
        <v>-1</v>
      </c>
      <c r="F3" t="n">
        <v>-1</v>
      </c>
      <c r="G3" t="n">
        <v>-28.6</v>
      </c>
      <c r="H3" t="n">
        <v>15.6</v>
      </c>
      <c r="I3" t="n">
        <v>16</v>
      </c>
      <c r="J3" t="n">
        <v>-11.6</v>
      </c>
      <c r="K3" t="n">
        <v>16010</v>
      </c>
      <c r="L3" t="n">
        <v>14985</v>
      </c>
      <c r="M3" t="n">
        <v>2.3990985</v>
      </c>
      <c r="N3" t="n">
        <v>19708.25</v>
      </c>
      <c r="O3" t="n">
        <v>0.7603414813593292</v>
      </c>
      <c r="P3" t="n">
        <v>1.343463611689742</v>
      </c>
      <c r="Q3" t="n">
        <v>12.15880149783288</v>
      </c>
      <c r="R3" t="n">
        <v>7.397140296349366</v>
      </c>
      <c r="S3" t="n">
        <v>4.8</v>
      </c>
      <c r="T3" t="n">
        <v>-2.019583843329253</v>
      </c>
      <c r="U3" t="n">
        <v>-23.21342925659473</v>
      </c>
      <c r="V3" t="n">
        <v>17400</v>
      </c>
      <c r="W3" t="n">
        <v>18460</v>
      </c>
      <c r="X3" t="n">
        <v>20284.16666666667</v>
      </c>
      <c r="Y3" t="n">
        <v>0</v>
      </c>
      <c r="Z3" t="n">
        <v>0</v>
      </c>
      <c r="AA3" t="n">
        <v>0</v>
      </c>
      <c r="AB3" t="n">
        <v>5255.381202058265</v>
      </c>
      <c r="AC3" t="n">
        <v>24.9</v>
      </c>
      <c r="AD3" t="n">
        <v>52.6</v>
      </c>
      <c r="AE3" t="n">
        <v>76.3</v>
      </c>
      <c r="AF3" t="n">
        <v>49</v>
      </c>
      <c r="AG3" t="inlineStr">
        <is>
          <t>D</t>
        </is>
      </c>
    </row>
    <row r="4">
      <c r="A4" t="inlineStr">
        <is>
          <t>A464490</t>
        </is>
      </c>
      <c r="B4" t="inlineStr">
        <is>
          <t>쿼드메디슨</t>
        </is>
      </c>
      <c r="C4" t="inlineStr"/>
      <c r="D4" t="inlineStr"/>
      <c r="E4" t="n">
        <v>-1.8</v>
      </c>
      <c r="F4" t="n">
        <v>13.1</v>
      </c>
      <c r="G4" t="n">
        <v>-23.7</v>
      </c>
      <c r="H4" t="n">
        <v>13.5</v>
      </c>
      <c r="I4" t="n">
        <v>58.8</v>
      </c>
      <c r="J4" t="n">
        <v>162.1</v>
      </c>
      <c r="K4" t="n">
        <v>8210</v>
      </c>
      <c r="L4" t="n">
        <v>55389</v>
      </c>
      <c r="M4" t="n">
        <v>4.5474369</v>
      </c>
      <c r="N4" t="n">
        <v>109949.95</v>
      </c>
      <c r="O4" t="n">
        <v>0.5037655769738868</v>
      </c>
      <c r="P4" t="n">
        <v>3.045566520119369</v>
      </c>
      <c r="Q4" t="n">
        <v>17.77205832769167</v>
      </c>
      <c r="R4" t="n">
        <v>6.898291075423206</v>
      </c>
      <c r="S4" t="n">
        <v>10.9</v>
      </c>
      <c r="T4" t="n">
        <v>-2.378121284185497</v>
      </c>
      <c r="U4" t="n">
        <v>-36.74884437596302</v>
      </c>
      <c r="V4" t="n">
        <v>9384</v>
      </c>
      <c r="W4" t="n">
        <v>10377.5</v>
      </c>
      <c r="X4" t="n">
        <v>12845.16666666667</v>
      </c>
      <c r="Y4" t="n">
        <v>0</v>
      </c>
      <c r="Z4" t="n">
        <v>0</v>
      </c>
      <c r="AA4" t="n">
        <v>0</v>
      </c>
      <c r="AB4" t="n">
        <v>4945.290156992043</v>
      </c>
      <c r="AC4" t="n">
        <v>11.1</v>
      </c>
      <c r="AD4" t="n">
        <v>62.8</v>
      </c>
      <c r="AE4" t="n">
        <v>52.6</v>
      </c>
      <c r="AF4" t="n">
        <v>45.2</v>
      </c>
      <c r="AG4" t="inlineStr">
        <is>
          <t>D</t>
        </is>
      </c>
    </row>
    <row r="5">
      <c r="A5" t="inlineStr">
        <is>
          <t>A176750</t>
        </is>
      </c>
      <c r="B5" t="inlineStr">
        <is>
          <t>듀켐바이오</t>
        </is>
      </c>
      <c r="C5" t="inlineStr"/>
      <c r="D5" t="inlineStr"/>
      <c r="E5" t="n">
        <v>-2.4</v>
      </c>
      <c r="F5" t="n">
        <v>-2.4</v>
      </c>
      <c r="G5" t="n">
        <v>-8.1</v>
      </c>
      <c r="H5" t="n">
        <v>4</v>
      </c>
      <c r="I5" t="n">
        <v>9.4</v>
      </c>
      <c r="J5" t="n">
        <v>-21</v>
      </c>
      <c r="K5" t="n">
        <v>6320</v>
      </c>
      <c r="L5" t="n">
        <v>8196</v>
      </c>
      <c r="M5" t="n">
        <v>0.5179872</v>
      </c>
      <c r="N5" t="n">
        <v>41741.75</v>
      </c>
      <c r="O5" t="n">
        <v>0.1963501769810801</v>
      </c>
      <c r="P5" t="n">
        <v>2.882512775693636</v>
      </c>
      <c r="Q5" t="n">
        <v>17.80529847355213</v>
      </c>
      <c r="R5" t="n">
        <v>13.14441170135736</v>
      </c>
      <c r="S5" t="n">
        <v>4.7</v>
      </c>
      <c r="T5" t="n">
        <v>-0.9404388714733591</v>
      </c>
      <c r="U5" t="n">
        <v>-29.54292084726867</v>
      </c>
      <c r="V5" t="n">
        <v>7139</v>
      </c>
      <c r="W5" t="n">
        <v>7902</v>
      </c>
      <c r="X5" t="n">
        <v>8779.833333333334</v>
      </c>
      <c r="Y5" t="n">
        <v>0</v>
      </c>
      <c r="Z5" t="n">
        <v>0</v>
      </c>
      <c r="AA5" t="n">
        <v>0</v>
      </c>
      <c r="AB5" t="n">
        <v>3783.834868990649</v>
      </c>
      <c r="AC5" t="n">
        <v>24.3</v>
      </c>
      <c r="AD5" t="n">
        <v>47.4</v>
      </c>
      <c r="AE5" t="n">
        <v>9.6</v>
      </c>
      <c r="AF5" t="n">
        <v>32.9</v>
      </c>
      <c r="AG5" t="inlineStr">
        <is>
          <t>D</t>
        </is>
      </c>
    </row>
    <row r="6">
      <c r="A6" t="inlineStr">
        <is>
          <t>A431190</t>
        </is>
      </c>
      <c r="B6" t="inlineStr">
        <is>
          <t>케이쓰리아이</t>
        </is>
      </c>
      <c r="C6" t="inlineStr"/>
      <c r="D6" t="inlineStr"/>
      <c r="E6" t="n">
        <v>-0.2</v>
      </c>
      <c r="F6" t="n">
        <v>-0</v>
      </c>
      <c r="G6" t="n">
        <v>-0</v>
      </c>
      <c r="H6" t="n">
        <v>5.4</v>
      </c>
      <c r="I6" t="n">
        <v>9.300000000000001</v>
      </c>
      <c r="J6" t="n">
        <v>17.4</v>
      </c>
      <c r="K6" t="n">
        <v>2890</v>
      </c>
      <c r="L6" t="n">
        <v>26515</v>
      </c>
      <c r="M6" t="n">
        <v>0.7662835</v>
      </c>
      <c r="N6" t="n">
        <v>47964.2</v>
      </c>
      <c r="O6" t="n">
        <v>0.5528081360681508</v>
      </c>
      <c r="P6" t="n">
        <v>3.176400036604559</v>
      </c>
      <c r="Q6" t="n">
        <v>18.54381207614989</v>
      </c>
      <c r="R6" t="n">
        <v>10.12064637927288</v>
      </c>
      <c r="S6" t="n">
        <v>8.4</v>
      </c>
      <c r="T6" t="n">
        <v>0.3472222222222321</v>
      </c>
      <c r="U6" t="n">
        <v>-38.18181818181819</v>
      </c>
      <c r="V6" t="n">
        <v>3525</v>
      </c>
      <c r="W6" t="n">
        <v>3893</v>
      </c>
      <c r="X6" t="n">
        <v>4181.083333333333</v>
      </c>
      <c r="Y6" t="n">
        <v>0</v>
      </c>
      <c r="Z6" t="n">
        <v>0</v>
      </c>
      <c r="AA6" t="n">
        <v>0</v>
      </c>
      <c r="AB6" t="n">
        <v>2044.035224745403</v>
      </c>
      <c r="AC6" t="n">
        <v>21.8</v>
      </c>
      <c r="AD6" t="n">
        <v>57.9</v>
      </c>
      <c r="AE6" t="n">
        <v>57.8</v>
      </c>
      <c r="AF6" t="n">
        <v>47.1</v>
      </c>
      <c r="AG6" t="inlineStr">
        <is>
          <t>D</t>
        </is>
      </c>
    </row>
    <row r="7">
      <c r="A7" t="inlineStr">
        <is>
          <t>A476040</t>
        </is>
      </c>
      <c r="B7" t="inlineStr">
        <is>
          <t>오가노이드사이언스</t>
        </is>
      </c>
      <c r="C7" t="inlineStr"/>
      <c r="D7" t="inlineStr"/>
      <c r="E7" t="n">
        <v>-20.7</v>
      </c>
      <c r="F7" t="n">
        <v>-30.4</v>
      </c>
      <c r="G7" t="n">
        <v>-75.09999999999999</v>
      </c>
      <c r="H7" t="n">
        <v>47.1</v>
      </c>
      <c r="I7" t="n">
        <v>147.8</v>
      </c>
      <c r="J7" t="n">
        <v>280.7</v>
      </c>
      <c r="K7" t="n">
        <v>13350</v>
      </c>
      <c r="L7" t="n">
        <v>42205</v>
      </c>
      <c r="M7" t="n">
        <v>5.6343675</v>
      </c>
      <c r="N7" t="n">
        <v>70096.8</v>
      </c>
      <c r="O7" t="n">
        <v>0.6020959587313544</v>
      </c>
      <c r="P7" t="n">
        <v>3.009667192245883</v>
      </c>
      <c r="Q7" t="n">
        <v>19.19203051369785</v>
      </c>
      <c r="R7" t="n">
        <v>9.511849987730683</v>
      </c>
      <c r="S7" t="n">
        <v>9.699999999999999</v>
      </c>
      <c r="T7" t="n">
        <v>-3.190717911530094</v>
      </c>
      <c r="U7" t="n">
        <v>-39.31818181818182</v>
      </c>
      <c r="V7" t="n">
        <v>15463</v>
      </c>
      <c r="W7" t="n">
        <v>17023</v>
      </c>
      <c r="X7" t="n">
        <v>21818.5</v>
      </c>
      <c r="Y7" t="n">
        <v>0</v>
      </c>
      <c r="Z7" t="n">
        <v>0</v>
      </c>
      <c r="AA7" t="n">
        <v>0</v>
      </c>
      <c r="AB7" t="n">
        <v>8603.794511725557</v>
      </c>
      <c r="AC7" t="n">
        <v>6.9</v>
      </c>
      <c r="AD7" t="n">
        <v>54.3</v>
      </c>
      <c r="AE7" t="n">
        <v>64.40000000000001</v>
      </c>
      <c r="AF7" t="n">
        <v>42.1</v>
      </c>
      <c r="AG7" t="inlineStr">
        <is>
          <t>D</t>
        </is>
      </c>
    </row>
    <row r="8">
      <c r="A8" t="inlineStr">
        <is>
          <t>A199480</t>
        </is>
      </c>
      <c r="B8" t="inlineStr">
        <is>
          <t>뱅크웨어글로벌</t>
        </is>
      </c>
      <c r="C8" t="inlineStr"/>
      <c r="D8" t="inlineStr"/>
      <c r="E8" t="n">
        <v>-0</v>
      </c>
      <c r="F8" t="n">
        <v>0</v>
      </c>
      <c r="G8" t="n">
        <v>0</v>
      </c>
      <c r="H8" t="n">
        <v>-0.9</v>
      </c>
      <c r="I8" t="n">
        <v>-6.6</v>
      </c>
      <c r="J8" t="n">
        <v>-20.6</v>
      </c>
      <c r="K8" t="n">
        <v>3760</v>
      </c>
      <c r="L8" t="n">
        <v>17125</v>
      </c>
      <c r="M8" t="n">
        <v>0.6439</v>
      </c>
      <c r="N8" t="n">
        <v>43528.15</v>
      </c>
      <c r="O8" t="n">
        <v>0.3934235661290452</v>
      </c>
      <c r="P8" t="n">
        <v>1.812420395664296</v>
      </c>
      <c r="Q8" t="n">
        <v>20.60333084732654</v>
      </c>
      <c r="R8" t="n">
        <v>11.97077923676238</v>
      </c>
      <c r="S8" t="n">
        <v>8.6</v>
      </c>
      <c r="T8" t="n">
        <v>-1.441677588466583</v>
      </c>
      <c r="U8" t="n">
        <v>-25.3968253968254</v>
      </c>
      <c r="V8" t="n">
        <v>4042.5</v>
      </c>
      <c r="W8" t="n">
        <v>4312.25</v>
      </c>
      <c r="X8" t="n">
        <v>4636.166666666667</v>
      </c>
      <c r="Y8" t="n">
        <v>0</v>
      </c>
      <c r="Z8" t="n">
        <v>0</v>
      </c>
      <c r="AA8" t="n">
        <v>0</v>
      </c>
      <c r="AB8" t="n">
        <v>1418.174883432928</v>
      </c>
      <c r="AC8" t="n">
        <v>27.1</v>
      </c>
      <c r="AD8" t="n">
        <v>51.8</v>
      </c>
      <c r="AE8" t="n">
        <v>39.3</v>
      </c>
      <c r="AF8" t="n">
        <v>41.9</v>
      </c>
      <c r="AG8" t="inlineStr">
        <is>
          <t>D</t>
        </is>
      </c>
    </row>
    <row r="9">
      <c r="A9" t="inlineStr">
        <is>
          <t>A481070</t>
        </is>
      </c>
      <c r="B9" t="inlineStr">
        <is>
          <t>에이유브랜즈</t>
        </is>
      </c>
      <c r="C9" t="inlineStr"/>
      <c r="D9" t="inlineStr"/>
      <c r="E9" t="n">
        <v>-12.1</v>
      </c>
      <c r="F9" t="n">
        <v>-88.2</v>
      </c>
      <c r="G9" t="n">
        <v>-199.6</v>
      </c>
      <c r="H9" t="n">
        <v>20.4</v>
      </c>
      <c r="I9" t="n">
        <v>44.8</v>
      </c>
      <c r="J9" t="n">
        <v>12.1</v>
      </c>
      <c r="K9" t="n">
        <v>12420</v>
      </c>
      <c r="L9" t="n">
        <v>101612</v>
      </c>
      <c r="M9" t="n">
        <v>12.6202104</v>
      </c>
      <c r="N9" t="n">
        <v>32942.15</v>
      </c>
      <c r="O9" t="n">
        <v>3.084558840269988</v>
      </c>
      <c r="P9" t="n">
        <v>2.826410644628966</v>
      </c>
      <c r="Q9" t="n">
        <v>20.71842891899411</v>
      </c>
      <c r="R9" t="n">
        <v>10.59844735527687</v>
      </c>
      <c r="S9" t="n">
        <v>10.1</v>
      </c>
      <c r="T9" t="n">
        <v>-1.506740681998409</v>
      </c>
      <c r="U9" t="n">
        <v>-30.76923076923077</v>
      </c>
      <c r="V9" t="n">
        <v>14135</v>
      </c>
      <c r="W9" t="n">
        <v>15573</v>
      </c>
      <c r="X9" t="n">
        <v>17103.16666666667</v>
      </c>
      <c r="Y9" t="n">
        <v>0</v>
      </c>
      <c r="Z9" t="n">
        <v>0</v>
      </c>
      <c r="AA9" t="n">
        <v>0</v>
      </c>
      <c r="AB9" t="n">
        <v>6714.297078857737</v>
      </c>
      <c r="AC9" t="n">
        <v>21.4</v>
      </c>
      <c r="AD9" t="n">
        <v>44.6</v>
      </c>
      <c r="AE9" t="n">
        <v>98.5</v>
      </c>
      <c r="AF9" t="n">
        <v>48.4</v>
      </c>
      <c r="AG9" t="inlineStr">
        <is>
          <t>D</t>
        </is>
      </c>
    </row>
    <row r="10">
      <c r="A10" t="inlineStr">
        <is>
          <t>A308430</t>
        </is>
      </c>
      <c r="B10" t="inlineStr">
        <is>
          <t>셀비온</t>
        </is>
      </c>
      <c r="C10" t="inlineStr"/>
      <c r="D10" t="inlineStr"/>
      <c r="E10" t="n">
        <v>4</v>
      </c>
      <c r="F10" t="n">
        <v>1.5</v>
      </c>
      <c r="G10" t="n">
        <v>151.7</v>
      </c>
      <c r="H10" t="n">
        <v>41.9</v>
      </c>
      <c r="I10" t="n">
        <v>171.1</v>
      </c>
      <c r="J10" t="n">
        <v>-22.8</v>
      </c>
      <c r="K10" t="n">
        <v>19170</v>
      </c>
      <c r="L10" t="n">
        <v>76639</v>
      </c>
      <c r="M10" t="n">
        <v>14.6916963</v>
      </c>
      <c r="N10" t="n">
        <v>120909.9</v>
      </c>
      <c r="O10" t="n">
        <v>0.6338521494104288</v>
      </c>
      <c r="P10" t="n">
        <v>4.297739482499726</v>
      </c>
      <c r="Q10" t="n">
        <v>20.82335022934055</v>
      </c>
      <c r="R10" t="n">
        <v>4.304378017169294</v>
      </c>
      <c r="S10" t="n">
        <v>16.5</v>
      </c>
      <c r="T10" t="n">
        <v>-1.185567010309274</v>
      </c>
      <c r="U10" t="n">
        <v>-46.6759388038943</v>
      </c>
      <c r="V10" t="n">
        <v>22562</v>
      </c>
      <c r="W10" t="n">
        <v>25331</v>
      </c>
      <c r="X10" t="n">
        <v>29544.5</v>
      </c>
      <c r="Y10" t="n">
        <v>0</v>
      </c>
      <c r="Z10" t="n">
        <v>0</v>
      </c>
      <c r="AA10" t="n">
        <v>0</v>
      </c>
      <c r="AB10" t="n">
        <v>14096.81352572081</v>
      </c>
      <c r="AC10" t="n">
        <v>12</v>
      </c>
      <c r="AD10" t="n">
        <v>78.5</v>
      </c>
      <c r="AE10" t="n">
        <v>68.90000000000001</v>
      </c>
      <c r="AF10" t="n">
        <v>56.6</v>
      </c>
      <c r="AG10" t="inlineStr">
        <is>
          <t>C</t>
        </is>
      </c>
    </row>
    <row r="11">
      <c r="A11" t="inlineStr">
        <is>
          <t>A950250</t>
        </is>
      </c>
      <c r="B11" t="inlineStr">
        <is>
          <t>테라뷰</t>
        </is>
      </c>
      <c r="C11" t="inlineStr"/>
      <c r="D11" t="inlineStr"/>
      <c r="E11" t="n">
        <v>-0.1</v>
      </c>
      <c r="F11" t="n">
        <v>-0.1</v>
      </c>
      <c r="G11" t="n">
        <v>-30.7</v>
      </c>
      <c r="H11" t="n">
        <v>82.7</v>
      </c>
      <c r="I11" t="n">
        <v>-78.90000000000001</v>
      </c>
      <c r="J11" t="n">
        <v>-47.9</v>
      </c>
      <c r="K11" t="n">
        <v>3540</v>
      </c>
      <c r="L11" t="n">
        <v>442471</v>
      </c>
      <c r="M11" t="n">
        <v>15.6634734</v>
      </c>
      <c r="N11" t="n">
        <v>959401.55</v>
      </c>
      <c r="O11" t="n">
        <v>0.4611947937753488</v>
      </c>
      <c r="P11" t="n">
        <v>4.006172059660899</v>
      </c>
      <c r="Q11" t="n">
        <v>21.7185031432754</v>
      </c>
      <c r="R11" t="n">
        <v>9.80485327175311</v>
      </c>
      <c r="S11" t="n">
        <v>11.9</v>
      </c>
      <c r="T11" t="n">
        <v>3.812316715542519</v>
      </c>
      <c r="U11" t="n">
        <v>-46.76691729323309</v>
      </c>
      <c r="V11" t="n">
        <v>4081.5</v>
      </c>
      <c r="W11" t="n">
        <v>4772.5</v>
      </c>
      <c r="X11" t="n">
        <v>6407.666666666667</v>
      </c>
      <c r="Y11" t="n">
        <v>0</v>
      </c>
      <c r="Z11" t="n">
        <v>0</v>
      </c>
      <c r="AA11" t="n">
        <v>0</v>
      </c>
      <c r="AB11" t="n">
        <v>3620.918755175133</v>
      </c>
      <c r="AC11" t="n">
        <v>28</v>
      </c>
      <c r="AD11" t="n">
        <v>49.8</v>
      </c>
      <c r="AE11" t="n">
        <v>50.4</v>
      </c>
      <c r="AF11" t="n">
        <v>43.4</v>
      </c>
      <c r="AG11" t="inlineStr">
        <is>
          <t>D</t>
        </is>
      </c>
    </row>
    <row r="12">
      <c r="A12" t="inlineStr">
        <is>
          <t>A261520</t>
        </is>
      </c>
      <c r="B12" t="inlineStr">
        <is>
          <t>이지스</t>
        </is>
      </c>
      <c r="C12" t="inlineStr"/>
      <c r="D12" t="inlineStr"/>
      <c r="E12" t="n">
        <v>-0</v>
      </c>
      <c r="F12" t="n">
        <v>-0.1</v>
      </c>
      <c r="G12" t="n">
        <v>-52.9</v>
      </c>
      <c r="H12" t="n">
        <v>9.5</v>
      </c>
      <c r="I12" t="n">
        <v>23.9</v>
      </c>
      <c r="J12" t="n">
        <v>53.9</v>
      </c>
      <c r="K12" t="n">
        <v>4975</v>
      </c>
      <c r="L12" t="n">
        <v>32529</v>
      </c>
      <c r="M12" t="n">
        <v>1.61831775</v>
      </c>
      <c r="N12" t="n">
        <v>73545.89999999999</v>
      </c>
      <c r="O12" t="n">
        <v>0.44229521971993</v>
      </c>
      <c r="P12" t="n">
        <v>3.005547319460749</v>
      </c>
      <c r="Q12" t="n">
        <v>21.73246295873926</v>
      </c>
      <c r="R12" t="n">
        <v>10.42119875590899</v>
      </c>
      <c r="S12" t="n">
        <v>11.3</v>
      </c>
      <c r="T12" t="n">
        <v>1.015228426395942</v>
      </c>
      <c r="U12" t="n">
        <v>-36.21794871794872</v>
      </c>
      <c r="V12" t="n">
        <v>5501</v>
      </c>
      <c r="W12" t="n">
        <v>6121</v>
      </c>
      <c r="X12" t="n">
        <v>7748.333333333333</v>
      </c>
      <c r="Y12" t="n">
        <v>0</v>
      </c>
      <c r="Z12" t="n">
        <v>0</v>
      </c>
      <c r="AA12" t="n">
        <v>0</v>
      </c>
      <c r="AB12" t="n">
        <v>3110.813736832109</v>
      </c>
      <c r="AC12" t="n">
        <v>27</v>
      </c>
      <c r="AD12" t="n">
        <v>58.3</v>
      </c>
      <c r="AE12" t="n">
        <v>48.9</v>
      </c>
      <c r="AF12" t="n">
        <v>47</v>
      </c>
      <c r="AG12" t="inlineStr">
        <is>
          <t>D</t>
        </is>
      </c>
    </row>
    <row r="13">
      <c r="A13" t="inlineStr">
        <is>
          <t>A475230</t>
        </is>
      </c>
      <c r="B13" t="inlineStr">
        <is>
          <t>엔알비</t>
        </is>
      </c>
      <c r="C13" t="inlineStr"/>
      <c r="D13" t="inlineStr"/>
      <c r="E13" t="n">
        <v>17.7</v>
      </c>
      <c r="F13" t="n">
        <v>55.6</v>
      </c>
      <c r="G13" t="n">
        <v>40.4</v>
      </c>
      <c r="H13" t="n">
        <v>23.1</v>
      </c>
      <c r="I13" t="n">
        <v>53.9</v>
      </c>
      <c r="J13" t="n">
        <v>426.1</v>
      </c>
      <c r="K13" t="n">
        <v>11870</v>
      </c>
      <c r="L13" t="n">
        <v>41182</v>
      </c>
      <c r="M13" t="n">
        <v>4.8883034</v>
      </c>
      <c r="N13" t="n">
        <v>139724.45</v>
      </c>
      <c r="O13" t="n">
        <v>0.2947372489210013</v>
      </c>
      <c r="P13" t="n">
        <v>4.118612767742418</v>
      </c>
      <c r="Q13" t="n">
        <v>22.27622988177755</v>
      </c>
      <c r="R13" t="n">
        <v>17.64019355848596</v>
      </c>
      <c r="S13" t="n">
        <v>4.6</v>
      </c>
      <c r="T13" t="n">
        <v>-3.574329813160038</v>
      </c>
      <c r="U13" t="n">
        <v>-37.02917771883289</v>
      </c>
      <c r="V13" t="n">
        <v>13866</v>
      </c>
      <c r="W13" t="n">
        <v>15369.5</v>
      </c>
      <c r="X13" t="n">
        <v>19521.16666666667</v>
      </c>
      <c r="Y13" t="n">
        <v>0</v>
      </c>
      <c r="Z13" t="n">
        <v>0</v>
      </c>
      <c r="AA13" t="n">
        <v>0</v>
      </c>
      <c r="AB13" t="n">
        <v>7936.033478282523</v>
      </c>
      <c r="AC13" t="n">
        <v>8.699999999999999</v>
      </c>
      <c r="AD13" t="n">
        <v>82.40000000000001</v>
      </c>
      <c r="AE13" t="n">
        <v>20.7</v>
      </c>
      <c r="AF13" t="n">
        <v>48</v>
      </c>
      <c r="AG13" t="inlineStr">
        <is>
          <t>D</t>
        </is>
      </c>
    </row>
    <row r="14">
      <c r="A14" t="inlineStr">
        <is>
          <t>A484870</t>
        </is>
      </c>
      <c r="B14" t="inlineStr">
        <is>
          <t>엠앤씨솔루션</t>
        </is>
      </c>
      <c r="C14" t="inlineStr"/>
      <c r="D14" t="inlineStr"/>
      <c r="E14" t="n">
        <v>-133</v>
      </c>
      <c r="F14" t="n">
        <v>-374.5</v>
      </c>
      <c r="G14" t="n">
        <v>-657.1</v>
      </c>
      <c r="H14" t="n">
        <v>78.5</v>
      </c>
      <c r="I14" t="n">
        <v>153.8</v>
      </c>
      <c r="J14" t="n">
        <v>-89</v>
      </c>
      <c r="K14" t="n">
        <v>68500</v>
      </c>
      <c r="L14" t="n">
        <v>21832</v>
      </c>
      <c r="M14" t="n">
        <v>14.95492</v>
      </c>
      <c r="N14" t="n">
        <v>24885.65</v>
      </c>
      <c r="O14" t="n">
        <v>0.8772927369789416</v>
      </c>
      <c r="P14" t="n">
        <v>3.634476706967883</v>
      </c>
      <c r="Q14" t="n">
        <v>22.73325276220012</v>
      </c>
      <c r="R14" t="n">
        <v>12.56010975439015</v>
      </c>
      <c r="S14" t="n">
        <v>10.2</v>
      </c>
      <c r="T14" t="n">
        <v>1.632047477744814</v>
      </c>
      <c r="U14" t="n">
        <v>-40.17467248908297</v>
      </c>
      <c r="V14" t="n">
        <v>77370</v>
      </c>
      <c r="W14" t="n">
        <v>89035</v>
      </c>
      <c r="X14" t="n">
        <v>106091.6666666667</v>
      </c>
      <c r="Y14" t="n">
        <v>0</v>
      </c>
      <c r="Z14" t="n">
        <v>0</v>
      </c>
      <c r="AA14" t="n">
        <v>0</v>
      </c>
      <c r="AB14" t="n">
        <v>57590.39028025043</v>
      </c>
      <c r="AC14" t="n">
        <v>26.1</v>
      </c>
      <c r="AD14" t="n">
        <v>39.5</v>
      </c>
      <c r="AE14" t="n">
        <v>83.7</v>
      </c>
      <c r="AF14" t="n">
        <v>44.3</v>
      </c>
      <c r="AG14" t="inlineStr">
        <is>
          <t>D</t>
        </is>
      </c>
    </row>
    <row r="15">
      <c r="A15" t="inlineStr">
        <is>
          <t>A461030</t>
        </is>
      </c>
      <c r="B15" t="inlineStr">
        <is>
          <t>아이엠비디엑스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4560</v>
      </c>
      <c r="L15" t="n">
        <v>22120</v>
      </c>
      <c r="M15" t="n">
        <v>1.008672</v>
      </c>
      <c r="N15" t="n">
        <v>69651.85000000001</v>
      </c>
      <c r="O15" t="n">
        <v>0.3175795043491307</v>
      </c>
      <c r="P15" t="n">
        <v>2.919439002420327</v>
      </c>
      <c r="Q15" t="n">
        <v>23.43472540294767</v>
      </c>
      <c r="R15" t="n">
        <v>8.599835541169982</v>
      </c>
      <c r="S15" t="n">
        <v>14.8</v>
      </c>
      <c r="T15" t="n">
        <v>0.6622516556291425</v>
      </c>
      <c r="U15" t="n">
        <v>-36.1344537815126</v>
      </c>
      <c r="V15" t="n">
        <v>5015.5</v>
      </c>
      <c r="W15" t="n">
        <v>5588.75</v>
      </c>
      <c r="X15" t="n">
        <v>6411.083333333333</v>
      </c>
      <c r="Y15" t="n">
        <v>0</v>
      </c>
      <c r="Z15" t="n">
        <v>0</v>
      </c>
      <c r="AA15" t="n">
        <v>0</v>
      </c>
      <c r="AB15" t="n">
        <v>2871.213753981523</v>
      </c>
      <c r="AC15" t="n">
        <v>26.6</v>
      </c>
      <c r="AD15" t="n">
        <v>50</v>
      </c>
      <c r="AE15" t="n">
        <v>26.7</v>
      </c>
      <c r="AF15" t="n">
        <v>38.3</v>
      </c>
      <c r="AG15" t="inlineStr">
        <is>
          <t>D</t>
        </is>
      </c>
    </row>
    <row r="16">
      <c r="A16" t="inlineStr">
        <is>
          <t>A484590</t>
        </is>
      </c>
      <c r="B16" t="inlineStr">
        <is>
          <t>삼양컴텍</t>
        </is>
      </c>
      <c r="C16" t="inlineStr"/>
      <c r="D16" t="inlineStr"/>
      <c r="E16" t="n">
        <v>-68.09999999999999</v>
      </c>
      <c r="F16" t="n">
        <v>-135.2</v>
      </c>
      <c r="G16" t="n">
        <v>-237.9</v>
      </c>
      <c r="H16" t="n">
        <v>97</v>
      </c>
      <c r="I16" t="n">
        <v>105.1</v>
      </c>
      <c r="J16" t="n">
        <v>-164.3</v>
      </c>
      <c r="K16" t="n">
        <v>7910</v>
      </c>
      <c r="L16" t="n">
        <v>109946</v>
      </c>
      <c r="M16" t="n">
        <v>8.6967286</v>
      </c>
      <c r="N16" t="n">
        <v>194110.6</v>
      </c>
      <c r="O16" t="n">
        <v>0.5664090472132898</v>
      </c>
      <c r="P16" t="n">
        <v>4.244511757336517</v>
      </c>
      <c r="Q16" t="n">
        <v>23.56432837450589</v>
      </c>
      <c r="R16" t="n">
        <v>12.04400833356304</v>
      </c>
      <c r="S16" t="n">
        <v>11.5</v>
      </c>
      <c r="T16" t="n">
        <v>1.280409731113963</v>
      </c>
      <c r="U16" t="n">
        <v>-38.82443928847641</v>
      </c>
      <c r="V16" t="n">
        <v>9006</v>
      </c>
      <c r="W16" t="n">
        <v>10070.5</v>
      </c>
      <c r="X16" t="n">
        <v>11756.33333333333</v>
      </c>
      <c r="Y16" t="n">
        <v>0</v>
      </c>
      <c r="Z16" t="n">
        <v>0</v>
      </c>
      <c r="AA16" t="n">
        <v>0</v>
      </c>
      <c r="AB16" t="n">
        <v>5472.372332669664</v>
      </c>
      <c r="AC16" t="n">
        <v>26.6</v>
      </c>
      <c r="AD16" t="n">
        <v>42.6</v>
      </c>
      <c r="AE16" t="n">
        <v>60.7</v>
      </c>
      <c r="AF16" t="n">
        <v>41.4</v>
      </c>
      <c r="AG16" t="inlineStr">
        <is>
          <t>D</t>
        </is>
      </c>
    </row>
    <row r="17">
      <c r="A17" t="inlineStr">
        <is>
          <t>A317450</t>
        </is>
      </c>
      <c r="B17" t="inlineStr">
        <is>
          <t>명인제약</t>
        </is>
      </c>
      <c r="C17" t="inlineStr"/>
      <c r="D17" t="inlineStr"/>
      <c r="E17" t="n">
        <v>-4.5</v>
      </c>
      <c r="F17" t="n">
        <v>-44.8</v>
      </c>
      <c r="G17" t="n">
        <v>-328.5</v>
      </c>
      <c r="H17" t="n">
        <v>44.4</v>
      </c>
      <c r="I17" t="n">
        <v>-11.9</v>
      </c>
      <c r="J17" t="n">
        <v>-100.9</v>
      </c>
      <c r="K17" t="n">
        <v>44600</v>
      </c>
      <c r="L17" t="n">
        <v>18823</v>
      </c>
      <c r="M17" t="n">
        <v>8.395058000000001</v>
      </c>
      <c r="N17" t="n">
        <v>24542.65</v>
      </c>
      <c r="O17" t="n">
        <v>0.7669505941697412</v>
      </c>
      <c r="P17" t="n">
        <v>1.740009522310716</v>
      </c>
      <c r="Q17" t="n">
        <v>23.65389820251364</v>
      </c>
      <c r="R17" t="n">
        <v>14.39221284186871</v>
      </c>
      <c r="S17" t="n">
        <v>9.300000000000001</v>
      </c>
      <c r="T17" t="n">
        <v>-1.870187018701874</v>
      </c>
      <c r="U17" t="n">
        <v>-20.35714285714286</v>
      </c>
      <c r="V17" t="n">
        <v>47875</v>
      </c>
      <c r="W17" t="n">
        <v>50102.5</v>
      </c>
      <c r="X17" t="n">
        <v>54657.5</v>
      </c>
      <c r="Y17" t="n">
        <v>0</v>
      </c>
      <c r="Z17" t="n">
        <v>0</v>
      </c>
      <c r="AA17" t="n">
        <v>0</v>
      </c>
      <c r="AB17" t="n">
        <v>11544.60001358585</v>
      </c>
      <c r="AC17" t="n">
        <v>30.2</v>
      </c>
      <c r="AD17" t="n">
        <v>39.3</v>
      </c>
      <c r="AE17" t="n">
        <v>77</v>
      </c>
      <c r="AF17" t="n">
        <v>44.1</v>
      </c>
      <c r="AG17" t="inlineStr">
        <is>
          <t>D</t>
        </is>
      </c>
    </row>
    <row r="18">
      <c r="A18" t="inlineStr">
        <is>
          <t>A450950</t>
        </is>
      </c>
      <c r="B18" t="inlineStr">
        <is>
          <t>아스테라시스</t>
        </is>
      </c>
      <c r="C18" t="inlineStr"/>
      <c r="D18" t="inlineStr"/>
      <c r="E18" t="n">
        <v>0.8</v>
      </c>
      <c r="F18" t="n">
        <v>3</v>
      </c>
      <c r="G18" t="n">
        <v>27.4</v>
      </c>
      <c r="H18" t="n">
        <v>18.8</v>
      </c>
      <c r="I18" t="n">
        <v>25.7</v>
      </c>
      <c r="J18" t="n">
        <v>63.2</v>
      </c>
      <c r="K18" t="n">
        <v>8090</v>
      </c>
      <c r="L18" t="n">
        <v>50738</v>
      </c>
      <c r="M18" t="n">
        <v>4.1047042</v>
      </c>
      <c r="N18" t="n">
        <v>62348</v>
      </c>
      <c r="O18" t="n">
        <v>0.8137871303008918</v>
      </c>
      <c r="P18" t="n">
        <v>2.59155393362178</v>
      </c>
      <c r="Q18" t="n">
        <v>23.74134848716414</v>
      </c>
      <c r="R18" t="n">
        <v>13.38116958472538</v>
      </c>
      <c r="S18" t="n">
        <v>10.4</v>
      </c>
      <c r="T18" t="n">
        <v>-0.3694581280788145</v>
      </c>
      <c r="U18" t="n">
        <v>-29.34497816593886</v>
      </c>
      <c r="V18" t="n">
        <v>8868</v>
      </c>
      <c r="W18" t="n">
        <v>9611.5</v>
      </c>
      <c r="X18" t="n">
        <v>10765.83333333333</v>
      </c>
      <c r="Y18" t="n">
        <v>0</v>
      </c>
      <c r="Z18" t="n">
        <v>0</v>
      </c>
      <c r="AA18" t="n">
        <v>0</v>
      </c>
      <c r="AB18" t="n">
        <v>3820.725199832024</v>
      </c>
      <c r="AC18" t="n">
        <v>28.8</v>
      </c>
      <c r="AD18" t="n">
        <v>74.59999999999999</v>
      </c>
      <c r="AE18" t="n">
        <v>80</v>
      </c>
      <c r="AF18" t="n">
        <v>61.9</v>
      </c>
      <c r="AG18" t="inlineStr">
        <is>
          <t>C</t>
        </is>
      </c>
    </row>
    <row r="19">
      <c r="A19" t="inlineStr">
        <is>
          <t>A462980</t>
        </is>
      </c>
      <c r="B19" t="inlineStr">
        <is>
          <t>아이지넷</t>
        </is>
      </c>
      <c r="C19" t="inlineStr"/>
      <c r="D19" t="inlineStr"/>
      <c r="E19" t="n">
        <v>-1</v>
      </c>
      <c r="F19" t="n">
        <v>0.4</v>
      </c>
      <c r="G19" t="n">
        <v>5.7</v>
      </c>
      <c r="H19" t="n">
        <v>-32.1</v>
      </c>
      <c r="I19" t="n">
        <v>-50.8</v>
      </c>
      <c r="J19" t="n">
        <v>-116.8</v>
      </c>
      <c r="K19" t="n">
        <v>1421</v>
      </c>
      <c r="L19" t="n">
        <v>316336</v>
      </c>
      <c r="M19" t="n">
        <v>4.49513456</v>
      </c>
      <c r="N19" t="n">
        <v>271172.65</v>
      </c>
      <c r="O19" t="n">
        <v>1.166548322627669</v>
      </c>
      <c r="P19" t="n">
        <v>3.322086269512235</v>
      </c>
      <c r="Q19" t="n">
        <v>23.88891122611146</v>
      </c>
      <c r="R19" t="n">
        <v>17.14578003629549</v>
      </c>
      <c r="S19" t="n">
        <v>6.7</v>
      </c>
      <c r="T19" t="n">
        <v>-10.17699115044248</v>
      </c>
      <c r="U19" t="n">
        <v>-37.12389380530973</v>
      </c>
      <c r="V19" t="n">
        <v>1610.6</v>
      </c>
      <c r="W19" t="n">
        <v>1828.9</v>
      </c>
      <c r="X19" t="n">
        <v>2169.8</v>
      </c>
      <c r="Y19" t="n">
        <v>0</v>
      </c>
      <c r="Z19" t="n">
        <v>0</v>
      </c>
      <c r="AA19" t="n">
        <v>0</v>
      </c>
      <c r="AB19" t="n">
        <v>1040.681477130304</v>
      </c>
      <c r="AC19" t="n">
        <v>7.2</v>
      </c>
      <c r="AD19" t="n">
        <v>40.5</v>
      </c>
      <c r="AE19" t="n">
        <v>93.3</v>
      </c>
      <c r="AF19" t="n">
        <v>41.1</v>
      </c>
      <c r="AG19" t="inlineStr">
        <is>
          <t>D</t>
        </is>
      </c>
    </row>
    <row r="20">
      <c r="A20" t="inlineStr">
        <is>
          <t>A475460</t>
        </is>
      </c>
      <c r="B20" t="inlineStr">
        <is>
          <t>미트박스</t>
        </is>
      </c>
      <c r="C20" t="inlineStr"/>
      <c r="D20" t="inlineStr"/>
      <c r="E20" t="n">
        <v>0</v>
      </c>
      <c r="F20" t="n">
        <v>-0</v>
      </c>
      <c r="G20" t="n">
        <v>-0.2</v>
      </c>
      <c r="H20" t="n">
        <v>2.2</v>
      </c>
      <c r="I20" t="n">
        <v>-9.199999999999999</v>
      </c>
      <c r="J20" t="n">
        <v>-39.5</v>
      </c>
      <c r="K20" t="n">
        <v>6480</v>
      </c>
      <c r="L20" t="n">
        <v>11482</v>
      </c>
      <c r="M20" t="n">
        <v>0.7440336</v>
      </c>
      <c r="N20" t="n">
        <v>22296.7</v>
      </c>
      <c r="O20" t="n">
        <v>0.5149640978261357</v>
      </c>
      <c r="P20" t="n">
        <v>2.153725600782479</v>
      </c>
      <c r="Q20" t="n">
        <v>24.34348986167337</v>
      </c>
      <c r="R20" t="n">
        <v>14.02067848118807</v>
      </c>
      <c r="S20" t="n">
        <v>10.3</v>
      </c>
      <c r="T20" t="n">
        <v>0.1545595054095905</v>
      </c>
      <c r="U20" t="n">
        <v>-21.64449818621524</v>
      </c>
      <c r="V20" t="n">
        <v>7179</v>
      </c>
      <c r="W20" t="n">
        <v>7605.5</v>
      </c>
      <c r="X20" t="n">
        <v>7805.166666666667</v>
      </c>
      <c r="Y20" t="n">
        <v>0</v>
      </c>
      <c r="Z20" t="n">
        <v>0</v>
      </c>
      <c r="AA20" t="n">
        <v>0</v>
      </c>
      <c r="AB20" t="n">
        <v>2373.413264965836</v>
      </c>
      <c r="AC20" t="n">
        <v>38.5</v>
      </c>
      <c r="AD20" t="n">
        <v>51.5</v>
      </c>
      <c r="AE20" t="n">
        <v>54.1</v>
      </c>
      <c r="AF20" t="n">
        <v>48.1</v>
      </c>
      <c r="AG20" t="inlineStr">
        <is>
          <t>D</t>
        </is>
      </c>
    </row>
    <row r="21">
      <c r="A21" t="inlineStr">
        <is>
          <t>A289930</t>
        </is>
      </c>
      <c r="B21" t="inlineStr">
        <is>
          <t>웨이비스</t>
        </is>
      </c>
      <c r="C21" t="inlineStr"/>
      <c r="D21" t="inlineStr"/>
      <c r="E21" t="n">
        <v>-0.4</v>
      </c>
      <c r="F21" t="n">
        <v>-10</v>
      </c>
      <c r="G21" t="n">
        <v>-207.2</v>
      </c>
      <c r="H21" t="n">
        <v>47.2</v>
      </c>
      <c r="I21" t="n">
        <v>103</v>
      </c>
      <c r="J21" t="n">
        <v>127.7</v>
      </c>
      <c r="K21" t="n">
        <v>11860</v>
      </c>
      <c r="L21" t="n">
        <v>122866</v>
      </c>
      <c r="M21" t="n">
        <v>14.5719076</v>
      </c>
      <c r="N21" t="n">
        <v>296817.25</v>
      </c>
      <c r="O21" t="n">
        <v>0.4139449442375738</v>
      </c>
      <c r="P21" t="n">
        <v>4.459381708621732</v>
      </c>
      <c r="Q21" t="n">
        <v>24.34464984687484</v>
      </c>
      <c r="R21" t="n">
        <v>3.378303305042721</v>
      </c>
      <c r="S21" t="n">
        <v>21</v>
      </c>
      <c r="T21" t="n">
        <v>2.241379310344827</v>
      </c>
      <c r="U21" t="n">
        <v>-45.84474885844749</v>
      </c>
      <c r="V21" t="n">
        <v>13184</v>
      </c>
      <c r="W21" t="n">
        <v>15164.5</v>
      </c>
      <c r="X21" t="n">
        <v>17935</v>
      </c>
      <c r="Y21" t="n">
        <v>0</v>
      </c>
      <c r="Z21" t="n">
        <v>0</v>
      </c>
      <c r="AA21" t="n">
        <v>0</v>
      </c>
      <c r="AB21" t="n">
        <v>10868.2481036322</v>
      </c>
      <c r="AC21" t="n">
        <v>27.5</v>
      </c>
      <c r="AD21" t="n">
        <v>59.5</v>
      </c>
      <c r="AE21" t="n">
        <v>43</v>
      </c>
      <c r="AF21" t="n">
        <v>46.6</v>
      </c>
      <c r="AG21" t="inlineStr">
        <is>
          <t>D</t>
        </is>
      </c>
    </row>
    <row r="22">
      <c r="A22" t="inlineStr">
        <is>
          <t>A234030</t>
        </is>
      </c>
      <c r="B22" t="inlineStr">
        <is>
          <t>싸이닉솔루션</t>
        </is>
      </c>
      <c r="C22" t="inlineStr"/>
      <c r="D22" t="inlineStr"/>
      <c r="E22" t="n">
        <v>-3.7</v>
      </c>
      <c r="F22" t="n">
        <v>1</v>
      </c>
      <c r="G22" t="n">
        <v>4.2</v>
      </c>
      <c r="H22" t="n">
        <v>18.9</v>
      </c>
      <c r="I22" t="n">
        <v>65.3</v>
      </c>
      <c r="J22" t="n">
        <v>50.5</v>
      </c>
      <c r="K22" t="n">
        <v>4735</v>
      </c>
      <c r="L22" t="n">
        <v>123166</v>
      </c>
      <c r="M22" t="n">
        <v>5.8319101</v>
      </c>
      <c r="N22" t="n">
        <v>212306.45</v>
      </c>
      <c r="O22" t="n">
        <v>0.580133104764363</v>
      </c>
      <c r="P22" t="n">
        <v>3.279698319529072</v>
      </c>
      <c r="Q22" t="n">
        <v>24.55316929938218</v>
      </c>
      <c r="R22" t="n">
        <v>25.27210099503265</v>
      </c>
      <c r="S22" t="n">
        <v>-0.7</v>
      </c>
      <c r="T22" t="n">
        <v>0.4241781548250279</v>
      </c>
      <c r="U22" t="n">
        <v>-35.84010840108401</v>
      </c>
      <c r="V22" t="n">
        <v>5242.5</v>
      </c>
      <c r="W22" t="n">
        <v>5844.75</v>
      </c>
      <c r="X22" t="n">
        <v>6665.416666666667</v>
      </c>
      <c r="Y22" t="n">
        <v>0</v>
      </c>
      <c r="Z22" t="n">
        <v>0</v>
      </c>
      <c r="AA22" t="n">
        <v>0</v>
      </c>
      <c r="AB22" t="n">
        <v>3189.921464138015</v>
      </c>
      <c r="AC22" t="n">
        <v>27.2</v>
      </c>
      <c r="AD22" t="n">
        <v>65.59999999999999</v>
      </c>
      <c r="AE22" t="n">
        <v>62.2</v>
      </c>
      <c r="AF22" t="n">
        <v>53.4</v>
      </c>
      <c r="AG22" t="inlineStr">
        <is>
          <t>C</t>
        </is>
      </c>
    </row>
    <row r="23">
      <c r="A23" t="inlineStr">
        <is>
          <t>A287840</t>
        </is>
      </c>
      <c r="B23" t="inlineStr">
        <is>
          <t>인투셀</t>
        </is>
      </c>
      <c r="C23" t="inlineStr"/>
      <c r="D23" t="inlineStr"/>
      <c r="E23" t="n">
        <v>8.1</v>
      </c>
      <c r="F23" t="n">
        <v>75.90000000000001</v>
      </c>
      <c r="G23" t="n">
        <v>314.5</v>
      </c>
      <c r="H23" t="n">
        <v>-9.199999999999999</v>
      </c>
      <c r="I23" t="n">
        <v>188.6</v>
      </c>
      <c r="J23" t="n">
        <v>488</v>
      </c>
      <c r="K23" t="n">
        <v>26400</v>
      </c>
      <c r="L23" t="n">
        <v>45850</v>
      </c>
      <c r="M23" t="n">
        <v>12.1044</v>
      </c>
      <c r="N23" t="n">
        <v>84577.85000000001</v>
      </c>
      <c r="O23" t="n">
        <v>0.5421041088180889</v>
      </c>
      <c r="P23" t="n">
        <v>2.859477262095634</v>
      </c>
      <c r="Q23" t="n">
        <v>24.57758536025586</v>
      </c>
      <c r="R23" t="n">
        <v>14.26279531563138</v>
      </c>
      <c r="S23" t="n">
        <v>10.3</v>
      </c>
      <c r="T23" t="n">
        <v>-1.49253731343284</v>
      </c>
      <c r="U23" t="n">
        <v>-25.94670406732118</v>
      </c>
      <c r="V23" t="n">
        <v>28900</v>
      </c>
      <c r="W23" t="n">
        <v>30922.5</v>
      </c>
      <c r="X23" t="n">
        <v>38566.66666666666</v>
      </c>
      <c r="Y23" t="n">
        <v>0</v>
      </c>
      <c r="Z23" t="n">
        <v>0</v>
      </c>
      <c r="AA23" t="n">
        <v>0</v>
      </c>
      <c r="AB23" t="n">
        <v>10803.60076426764</v>
      </c>
      <c r="AC23" t="n">
        <v>28.7</v>
      </c>
      <c r="AD23" t="n">
        <v>74.3</v>
      </c>
      <c r="AE23" t="n">
        <v>57</v>
      </c>
      <c r="AF23" t="n">
        <v>57.2</v>
      </c>
      <c r="AG23" t="inlineStr">
        <is>
          <t>C</t>
        </is>
      </c>
    </row>
    <row r="24">
      <c r="A24" t="inlineStr">
        <is>
          <t>A488900</t>
        </is>
      </c>
      <c r="B24" t="inlineStr">
        <is>
          <t>비츠로넥스텍</t>
        </is>
      </c>
      <c r="C24" t="inlineStr"/>
      <c r="D24" t="inlineStr"/>
      <c r="E24" t="n">
        <v>0.1</v>
      </c>
      <c r="F24" t="n">
        <v>-55.2</v>
      </c>
      <c r="G24" t="n">
        <v>-441.8</v>
      </c>
      <c r="H24" t="n">
        <v>39.2</v>
      </c>
      <c r="I24" t="n">
        <v>43.5</v>
      </c>
      <c r="J24" t="n">
        <v>171.2</v>
      </c>
      <c r="K24" t="n">
        <v>11900</v>
      </c>
      <c r="L24" t="n">
        <v>94640</v>
      </c>
      <c r="M24" t="n">
        <v>11.26216</v>
      </c>
      <c r="N24" t="n">
        <v>137889</v>
      </c>
      <c r="O24" t="n">
        <v>0.6863491649080057</v>
      </c>
      <c r="P24" t="n">
        <v>3.862468872196875</v>
      </c>
      <c r="Q24" t="n">
        <v>24.70211314888787</v>
      </c>
      <c r="R24" t="n">
        <v>16.2784174015307</v>
      </c>
      <c r="S24" t="n">
        <v>8.4</v>
      </c>
      <c r="T24" t="n">
        <v>-1.244813278008294</v>
      </c>
      <c r="U24" t="n">
        <v>-38.6913961875322</v>
      </c>
      <c r="V24" t="n">
        <v>14056</v>
      </c>
      <c r="W24" t="n">
        <v>15923.5</v>
      </c>
      <c r="X24" t="n">
        <v>17755</v>
      </c>
      <c r="Y24" t="n">
        <v>0</v>
      </c>
      <c r="Z24" t="n">
        <v>0</v>
      </c>
      <c r="AA24" t="n">
        <v>0</v>
      </c>
      <c r="AB24" t="n">
        <v>9289.226583861322</v>
      </c>
      <c r="AC24" t="n">
        <v>16</v>
      </c>
      <c r="AD24" t="n">
        <v>58.7</v>
      </c>
      <c r="AE24" t="n">
        <v>72.59999999999999</v>
      </c>
      <c r="AF24" t="n">
        <v>48.7</v>
      </c>
      <c r="AG24" t="inlineStr">
        <is>
          <t>D</t>
        </is>
      </c>
    </row>
    <row r="25">
      <c r="A25" t="inlineStr">
        <is>
          <t>A494120</t>
        </is>
      </c>
      <c r="B25" t="inlineStr">
        <is>
          <t>큐리오시스</t>
        </is>
      </c>
      <c r="C25" t="inlineStr"/>
      <c r="D25" t="inlineStr"/>
      <c r="E25" t="n">
        <v>-30.6</v>
      </c>
      <c r="F25" t="n">
        <v>-207.1</v>
      </c>
      <c r="G25" t="n">
        <v>-1338.2</v>
      </c>
      <c r="H25" t="n">
        <v>78.59999999999999</v>
      </c>
      <c r="I25" t="n">
        <v>628</v>
      </c>
      <c r="J25" t="n">
        <v>571.8</v>
      </c>
      <c r="K25" t="n">
        <v>30300</v>
      </c>
      <c r="L25" t="n">
        <v>50453</v>
      </c>
      <c r="M25" t="n">
        <v>15.287259</v>
      </c>
      <c r="N25" t="n">
        <v>119294.6</v>
      </c>
      <c r="O25" t="n">
        <v>0.4229277771164831</v>
      </c>
      <c r="P25" t="n">
        <v>5.579644201798064</v>
      </c>
      <c r="Q25" t="n">
        <v>25.0164468819126</v>
      </c>
      <c r="R25" t="n">
        <v>16.70429113874909</v>
      </c>
      <c r="S25" t="n">
        <v>8.300000000000001</v>
      </c>
      <c r="T25" t="n">
        <v>1.168614357262099</v>
      </c>
      <c r="U25" t="n">
        <v>-39.52095808383233</v>
      </c>
      <c r="V25" t="n">
        <v>36705</v>
      </c>
      <c r="W25" t="n">
        <v>43062.5</v>
      </c>
      <c r="X25" t="n">
        <v>54407.5</v>
      </c>
      <c r="Y25" t="n">
        <v>0</v>
      </c>
      <c r="Z25" t="n">
        <v>0</v>
      </c>
      <c r="AA25" t="n">
        <v>0</v>
      </c>
      <c r="AB25" t="n">
        <v>32264.42557825471</v>
      </c>
      <c r="AC25" t="n">
        <v>26.6</v>
      </c>
      <c r="AD25" t="n">
        <v>51.5</v>
      </c>
      <c r="AE25" t="n">
        <v>45.2</v>
      </c>
      <c r="AF25" t="n">
        <v>42.8</v>
      </c>
      <c r="AG25" t="inlineStr">
        <is>
          <t>D</t>
        </is>
      </c>
    </row>
    <row r="26">
      <c r="A26" t="inlineStr">
        <is>
          <t>A481850</t>
        </is>
      </c>
      <c r="B26" t="inlineStr">
        <is>
          <t>신한글로벌액티브리츠</t>
        </is>
      </c>
      <c r="C26" t="inlineStr"/>
      <c r="D26" t="inlineStr"/>
      <c r="E26" t="n">
        <v>0.6</v>
      </c>
      <c r="F26" t="n">
        <v>-4</v>
      </c>
      <c r="G26" t="n">
        <v>-8.6</v>
      </c>
      <c r="H26" t="n">
        <v>-0.6</v>
      </c>
      <c r="I26" t="n">
        <v>-4.7</v>
      </c>
      <c r="J26" t="n">
        <v>-20.7</v>
      </c>
      <c r="K26" t="n">
        <v>923</v>
      </c>
      <c r="L26" t="n">
        <v>64435</v>
      </c>
      <c r="M26" t="n">
        <v>0.59473505</v>
      </c>
      <c r="N26" t="n">
        <v>101027.15</v>
      </c>
      <c r="O26" t="n">
        <v>0.6377988491212511</v>
      </c>
      <c r="P26" t="n">
        <v>1.920204717338396</v>
      </c>
      <c r="Q26" t="n">
        <v>25.03580032309623</v>
      </c>
      <c r="R26" t="n">
        <v>16.57525201328231</v>
      </c>
      <c r="S26" t="n">
        <v>8.5</v>
      </c>
      <c r="T26" t="n">
        <v>-0.1082251082251129</v>
      </c>
      <c r="U26" t="n">
        <v>-17.88256227758007</v>
      </c>
      <c r="V26" t="n">
        <v>961.2</v>
      </c>
      <c r="W26" t="n">
        <v>997.85</v>
      </c>
      <c r="X26" t="n">
        <v>1081.183333333333</v>
      </c>
      <c r="Y26" t="n">
        <v>0</v>
      </c>
      <c r="Z26" t="n">
        <v>0</v>
      </c>
      <c r="AA26" t="n">
        <v>0</v>
      </c>
      <c r="AB26" t="n">
        <v>234.5855023114973</v>
      </c>
      <c r="AC26" t="n">
        <v>41.1</v>
      </c>
      <c r="AD26" t="n">
        <v>49.3</v>
      </c>
      <c r="AE26" t="n">
        <v>70.40000000000001</v>
      </c>
      <c r="AF26" t="n">
        <v>51.1</v>
      </c>
      <c r="AG26" t="inlineStr">
        <is>
          <t>C</t>
        </is>
      </c>
    </row>
    <row r="27">
      <c r="A27" t="inlineStr">
        <is>
          <t>A340450</t>
        </is>
      </c>
      <c r="B27" t="inlineStr">
        <is>
          <t>지씨지놈</t>
        </is>
      </c>
      <c r="C27" t="inlineStr"/>
      <c r="D27" t="inlineStr"/>
      <c r="E27" t="n">
        <v>-11.1</v>
      </c>
      <c r="F27" t="n">
        <v>-17.7</v>
      </c>
      <c r="G27" t="n">
        <v>-61.6</v>
      </c>
      <c r="H27" t="n">
        <v>25.7</v>
      </c>
      <c r="I27" t="n">
        <v>-38.7</v>
      </c>
      <c r="J27" t="n">
        <v>-245.5</v>
      </c>
      <c r="K27" t="n">
        <v>5560</v>
      </c>
      <c r="L27" t="n">
        <v>89839</v>
      </c>
      <c r="M27" t="n">
        <v>4.9950484</v>
      </c>
      <c r="N27" t="n">
        <v>222973.05</v>
      </c>
      <c r="O27" t="n">
        <v>0.4029141638417737</v>
      </c>
      <c r="P27" t="n">
        <v>3.125501068481479</v>
      </c>
      <c r="Q27" t="n">
        <v>25.06503051131933</v>
      </c>
      <c r="R27" t="n">
        <v>10.29240736600948</v>
      </c>
      <c r="S27" t="n">
        <v>14.8</v>
      </c>
      <c r="T27" t="n">
        <v>-0.3584229390681037</v>
      </c>
      <c r="U27" t="n">
        <v>-32.76904474002419</v>
      </c>
      <c r="V27" t="n">
        <v>6353</v>
      </c>
      <c r="W27" t="n">
        <v>6776.5</v>
      </c>
      <c r="X27" t="n">
        <v>7433.833333333333</v>
      </c>
      <c r="Y27" t="n">
        <v>0</v>
      </c>
      <c r="Z27" t="n">
        <v>0</v>
      </c>
      <c r="AA27" t="n">
        <v>0</v>
      </c>
      <c r="AB27" t="n">
        <v>2502.925446247587</v>
      </c>
      <c r="AC27" t="n">
        <v>27.3</v>
      </c>
      <c r="AD27" t="n">
        <v>36.5</v>
      </c>
      <c r="AE27" t="n">
        <v>40.7</v>
      </c>
      <c r="AF27" t="n">
        <v>34.6</v>
      </c>
      <c r="AG27" t="inlineStr">
        <is>
          <t>D</t>
        </is>
      </c>
    </row>
    <row r="28">
      <c r="A28" t="inlineStr">
        <is>
          <t>A163280</t>
        </is>
      </c>
      <c r="B28" t="inlineStr">
        <is>
          <t>에어레인</t>
        </is>
      </c>
      <c r="C28" t="inlineStr"/>
      <c r="D28" t="inlineStr"/>
      <c r="E28" t="n">
        <v>-1.1</v>
      </c>
      <c r="F28" t="n">
        <v>-5.7</v>
      </c>
      <c r="G28" t="n">
        <v>-6.2</v>
      </c>
      <c r="H28" t="n">
        <v>0.6</v>
      </c>
      <c r="I28" t="n">
        <v>15.5</v>
      </c>
      <c r="J28" t="n">
        <v>-75.59999999999999</v>
      </c>
      <c r="K28" t="n">
        <v>4415</v>
      </c>
      <c r="L28" t="n">
        <v>40891</v>
      </c>
      <c r="M28" t="n">
        <v>1.80533765</v>
      </c>
      <c r="N28" t="n">
        <v>114485.75</v>
      </c>
      <c r="O28" t="n">
        <v>0.3571710889783226</v>
      </c>
      <c r="P28" t="n">
        <v>3.348072846030441</v>
      </c>
      <c r="Q28" t="n">
        <v>25.11141005739573</v>
      </c>
      <c r="R28" t="n">
        <v>18.87657766805311</v>
      </c>
      <c r="S28" t="n">
        <v>6.2</v>
      </c>
      <c r="T28" t="n">
        <v>-3.073545554335899</v>
      </c>
      <c r="U28" t="n">
        <v>-28.79032258064516</v>
      </c>
      <c r="V28" t="n">
        <v>4840.5</v>
      </c>
      <c r="W28" t="n">
        <v>5228.25</v>
      </c>
      <c r="X28" t="n">
        <v>5826.75</v>
      </c>
      <c r="Y28" t="n">
        <v>0</v>
      </c>
      <c r="Z28" t="n">
        <v>0</v>
      </c>
      <c r="AA28" t="n">
        <v>0</v>
      </c>
      <c r="AB28" t="n">
        <v>1987.924334046631</v>
      </c>
      <c r="AC28" t="n">
        <v>22</v>
      </c>
      <c r="AD28" t="n">
        <v>43.5</v>
      </c>
      <c r="AE28" t="n">
        <v>34.8</v>
      </c>
      <c r="AF28" t="n">
        <v>35.3</v>
      </c>
      <c r="AG28" t="inlineStr">
        <is>
          <t>D</t>
        </is>
      </c>
    </row>
    <row r="29">
      <c r="A29" t="inlineStr">
        <is>
          <t>A388610</t>
        </is>
      </c>
      <c r="B29" t="inlineStr">
        <is>
          <t>지에프씨생명과학</t>
        </is>
      </c>
      <c r="C29" t="inlineStr"/>
      <c r="D29" t="inlineStr"/>
      <c r="E29" t="n">
        <v>-0</v>
      </c>
      <c r="F29" t="n">
        <v>0</v>
      </c>
      <c r="G29" t="n">
        <v>-19.5</v>
      </c>
      <c r="H29" t="n">
        <v>3.1</v>
      </c>
      <c r="I29" t="n">
        <v>2.1</v>
      </c>
      <c r="J29" t="n">
        <v>-24.4</v>
      </c>
      <c r="K29" t="n">
        <v>6560</v>
      </c>
      <c r="L29" t="n">
        <v>7149</v>
      </c>
      <c r="M29" t="n">
        <v>0.4689744</v>
      </c>
      <c r="N29" t="n">
        <v>23680.7</v>
      </c>
      <c r="O29" t="n">
        <v>0.3018914136828725</v>
      </c>
      <c r="P29" t="n">
        <v>3.338441351868295</v>
      </c>
      <c r="Q29" t="n">
        <v>25.41587243674861</v>
      </c>
      <c r="R29" t="n">
        <v>13.39633822355757</v>
      </c>
      <c r="S29" t="n">
        <v>12</v>
      </c>
      <c r="T29" t="n">
        <v>1.391035548686248</v>
      </c>
      <c r="U29" t="n">
        <v>-34.00402414486921</v>
      </c>
      <c r="V29" t="n">
        <v>7238</v>
      </c>
      <c r="W29" t="n">
        <v>8023.5</v>
      </c>
      <c r="X29" t="n">
        <v>9287.166666666666</v>
      </c>
      <c r="Y29" t="n">
        <v>0</v>
      </c>
      <c r="Z29" t="n">
        <v>0</v>
      </c>
      <c r="AA29" t="n">
        <v>0</v>
      </c>
      <c r="AB29" t="n">
        <v>4034.259078912721</v>
      </c>
      <c r="AC29" t="n">
        <v>33.9</v>
      </c>
      <c r="AD29" t="n">
        <v>53</v>
      </c>
      <c r="AE29" t="n">
        <v>23.7</v>
      </c>
      <c r="AF29" t="n">
        <v>41.4</v>
      </c>
      <c r="AG29" t="inlineStr">
        <is>
          <t>D</t>
        </is>
      </c>
    </row>
    <row r="30">
      <c r="A30" t="inlineStr">
        <is>
          <t>A336680</t>
        </is>
      </c>
      <c r="B30" t="inlineStr">
        <is>
          <t>탑런토탈솔루션</t>
        </is>
      </c>
      <c r="C30" t="inlineStr"/>
      <c r="D30" t="inlineStr"/>
      <c r="E30" t="n">
        <v>-0</v>
      </c>
      <c r="F30" t="n">
        <v>-0</v>
      </c>
      <c r="G30" t="n">
        <v>-9.6</v>
      </c>
      <c r="H30" t="n">
        <v>10.8</v>
      </c>
      <c r="I30" t="n">
        <v>1.1</v>
      </c>
      <c r="J30" t="n">
        <v>10.2</v>
      </c>
      <c r="K30" t="n">
        <v>3105</v>
      </c>
      <c r="L30" t="n">
        <v>12838</v>
      </c>
      <c r="M30" t="n">
        <v>0.3986199</v>
      </c>
      <c r="N30" t="n">
        <v>47650.15</v>
      </c>
      <c r="O30" t="n">
        <v>0.2694220270030629</v>
      </c>
      <c r="P30" t="n">
        <v>1.903686606301846</v>
      </c>
      <c r="Q30" t="n">
        <v>25.82407645711653</v>
      </c>
      <c r="R30" t="n">
        <v>9.148883543763153</v>
      </c>
      <c r="S30" t="n">
        <v>16.7</v>
      </c>
      <c r="T30" t="n">
        <v>3.499999999999992</v>
      </c>
      <c r="U30" t="n">
        <v>-19.35064935064935</v>
      </c>
      <c r="V30" t="n">
        <v>3304</v>
      </c>
      <c r="W30" t="n">
        <v>3503.5</v>
      </c>
      <c r="X30" t="n">
        <v>3680.916666666667</v>
      </c>
      <c r="Y30" t="n">
        <v>0</v>
      </c>
      <c r="Z30" t="n">
        <v>0</v>
      </c>
      <c r="AA30" t="n">
        <v>0</v>
      </c>
      <c r="AB30" t="n">
        <v>988.8451531165547</v>
      </c>
      <c r="AC30" t="n">
        <v>52.1</v>
      </c>
      <c r="AD30" t="n">
        <v>57.7</v>
      </c>
      <c r="AE30" t="n">
        <v>17.8</v>
      </c>
      <c r="AF30" t="n">
        <v>48</v>
      </c>
      <c r="AG30" t="inlineStr">
        <is>
          <t>D</t>
        </is>
      </c>
    </row>
    <row r="31">
      <c r="A31" t="inlineStr">
        <is>
          <t>A474650</t>
        </is>
      </c>
      <c r="B31" t="inlineStr">
        <is>
          <t>링크솔루션</t>
        </is>
      </c>
      <c r="C31" t="inlineStr"/>
      <c r="D31" t="inlineStr"/>
      <c r="E31" t="n">
        <v>3.6</v>
      </c>
      <c r="F31" t="n">
        <v>53.1</v>
      </c>
      <c r="G31" t="n">
        <v>-10.4</v>
      </c>
      <c r="H31" t="n">
        <v>87.3</v>
      </c>
      <c r="I31" t="n">
        <v>166</v>
      </c>
      <c r="J31" t="n">
        <v>72.90000000000001</v>
      </c>
      <c r="K31" t="n">
        <v>42500</v>
      </c>
      <c r="L31" t="n">
        <v>57418</v>
      </c>
      <c r="M31" t="n">
        <v>24.40265</v>
      </c>
      <c r="N31" t="n">
        <v>102450.55</v>
      </c>
      <c r="O31" t="n">
        <v>0.5604459907731095</v>
      </c>
      <c r="P31" t="n">
        <v>3.496962236438847</v>
      </c>
      <c r="Q31" t="n">
        <v>25.84897861583133</v>
      </c>
      <c r="R31" t="n">
        <v>17.30718512010093</v>
      </c>
      <c r="S31" t="n">
        <v>8.5</v>
      </c>
      <c r="T31" t="n">
        <v>-2.745995423340963</v>
      </c>
      <c r="U31" t="n">
        <v>-28.45117845117845</v>
      </c>
      <c r="V31" t="n">
        <v>48180</v>
      </c>
      <c r="W31" t="n">
        <v>51837.5</v>
      </c>
      <c r="X31" t="n">
        <v>58299.16666666666</v>
      </c>
      <c r="Y31" t="n">
        <v>0</v>
      </c>
      <c r="Z31" t="n">
        <v>0</v>
      </c>
      <c r="AA31" t="n">
        <v>0</v>
      </c>
      <c r="AB31" t="n">
        <v>19468.93612101632</v>
      </c>
      <c r="AC31" t="n">
        <v>23.6</v>
      </c>
      <c r="AD31" t="n">
        <v>80.40000000000001</v>
      </c>
      <c r="AE31" t="n">
        <v>60</v>
      </c>
      <c r="AF31" t="n">
        <v>59.3</v>
      </c>
      <c r="AG31" t="inlineStr">
        <is>
          <t>C</t>
        </is>
      </c>
    </row>
    <row r="32">
      <c r="A32" t="inlineStr">
        <is>
          <t>A456070</t>
        </is>
      </c>
      <c r="B32" t="inlineStr">
        <is>
          <t>이엔셀</t>
        </is>
      </c>
      <c r="C32" t="inlineStr"/>
      <c r="D32" t="inlineStr"/>
      <c r="E32" t="n">
        <v>0.8</v>
      </c>
      <c r="F32" t="n">
        <v>10.5</v>
      </c>
      <c r="G32" t="n">
        <v>6.7</v>
      </c>
      <c r="H32" t="n">
        <v>14.5</v>
      </c>
      <c r="I32" t="n">
        <v>-16.8</v>
      </c>
      <c r="J32" t="n">
        <v>-29.3</v>
      </c>
      <c r="K32" t="n">
        <v>9780</v>
      </c>
      <c r="L32" t="n">
        <v>51005</v>
      </c>
      <c r="M32" t="n">
        <v>4.988289</v>
      </c>
      <c r="N32" t="n">
        <v>116738.6</v>
      </c>
      <c r="O32" t="n">
        <v>0.4369163241635586</v>
      </c>
      <c r="P32" t="n">
        <v>3.662766078528408</v>
      </c>
      <c r="Q32" t="n">
        <v>25.87944164062723</v>
      </c>
      <c r="R32" t="n">
        <v>15.85835231221255</v>
      </c>
      <c r="S32" t="n">
        <v>10</v>
      </c>
      <c r="T32" t="n">
        <v>1.768990634755463</v>
      </c>
      <c r="U32" t="n">
        <v>-35.91087811271297</v>
      </c>
      <c r="V32" t="n">
        <v>10715</v>
      </c>
      <c r="W32" t="n">
        <v>11929</v>
      </c>
      <c r="X32" t="n">
        <v>14226.66666666667</v>
      </c>
      <c r="Y32" t="n">
        <v>0</v>
      </c>
      <c r="Z32" t="n">
        <v>0</v>
      </c>
      <c r="AA32" t="n">
        <v>0</v>
      </c>
      <c r="AB32" t="n">
        <v>6198.647051023159</v>
      </c>
      <c r="AC32" t="n">
        <v>32.8</v>
      </c>
      <c r="AD32" t="n">
        <v>63.4</v>
      </c>
      <c r="AE32" t="n">
        <v>48.1</v>
      </c>
      <c r="AF32" t="n">
        <v>51.2</v>
      </c>
      <c r="AG32" t="inlineStr">
        <is>
          <t>C</t>
        </is>
      </c>
    </row>
    <row r="33">
      <c r="A33" t="inlineStr">
        <is>
          <t>A439260</t>
        </is>
      </c>
      <c r="B33" t="inlineStr">
        <is>
          <t>대한조선</t>
        </is>
      </c>
      <c r="C33" t="inlineStr"/>
      <c r="D33" t="inlineStr"/>
      <c r="E33" t="n">
        <v>16.5</v>
      </c>
      <c r="F33" t="n">
        <v>-310.3</v>
      </c>
      <c r="G33" t="n">
        <v>-1463.7</v>
      </c>
      <c r="H33" t="n">
        <v>-14.9</v>
      </c>
      <c r="I33" t="n">
        <v>48.3</v>
      </c>
      <c r="J33" t="n">
        <v>-976.1</v>
      </c>
      <c r="K33" t="n">
        <v>62000</v>
      </c>
      <c r="L33" t="n">
        <v>70412</v>
      </c>
      <c r="M33" t="n">
        <v>43.65544</v>
      </c>
      <c r="N33" t="n">
        <v>123542.2</v>
      </c>
      <c r="O33" t="n">
        <v>0.5699429021014681</v>
      </c>
      <c r="P33" t="n">
        <v>2.574563704214882</v>
      </c>
      <c r="Q33" t="n">
        <v>25.93048118843488</v>
      </c>
      <c r="R33" t="n">
        <v>10.00953005905568</v>
      </c>
      <c r="S33" t="n">
        <v>15.9</v>
      </c>
      <c r="T33" t="n">
        <v>0.9771986970684043</v>
      </c>
      <c r="U33" t="n">
        <v>-30.72625698324022</v>
      </c>
      <c r="V33" t="n">
        <v>65400</v>
      </c>
      <c r="W33" t="n">
        <v>70845</v>
      </c>
      <c r="X33" t="n">
        <v>84750</v>
      </c>
      <c r="Y33" t="n">
        <v>0</v>
      </c>
      <c r="Z33" t="n">
        <v>0</v>
      </c>
      <c r="AA33" t="n">
        <v>0</v>
      </c>
      <c r="AB33" t="n">
        <v>31012.52039181325</v>
      </c>
      <c r="AC33" t="n">
        <v>36.6</v>
      </c>
      <c r="AD33" t="n">
        <v>36.5</v>
      </c>
      <c r="AE33" t="n">
        <v>61.5</v>
      </c>
      <c r="AF33" t="n">
        <v>41.5</v>
      </c>
      <c r="AG33" t="inlineStr">
        <is>
          <t>D</t>
        </is>
      </c>
    </row>
    <row r="34">
      <c r="A34" t="inlineStr">
        <is>
          <t>A463020</t>
        </is>
      </c>
      <c r="B34" t="inlineStr">
        <is>
          <t>뉴엔AI</t>
        </is>
      </c>
      <c r="C34" t="inlineStr"/>
      <c r="D34" t="inlineStr"/>
      <c r="E34" t="n">
        <v>-2</v>
      </c>
      <c r="F34" t="n">
        <v>-11.4</v>
      </c>
      <c r="G34" t="n">
        <v>-29</v>
      </c>
      <c r="H34" t="n">
        <v>25.3</v>
      </c>
      <c r="I34" t="n">
        <v>16</v>
      </c>
      <c r="J34" t="n">
        <v>-7.2</v>
      </c>
      <c r="K34" t="n">
        <v>8820</v>
      </c>
      <c r="L34" t="n">
        <v>98891</v>
      </c>
      <c r="M34" t="n">
        <v>8.722186199999999</v>
      </c>
      <c r="N34" t="n">
        <v>92838.05</v>
      </c>
      <c r="O34" t="n">
        <v>1.065199021306458</v>
      </c>
      <c r="P34" t="n">
        <v>3.908125309939439</v>
      </c>
      <c r="Q34" t="n">
        <v>26.07442916739495</v>
      </c>
      <c r="R34" t="n">
        <v>23.71003261404047</v>
      </c>
      <c r="S34" t="n">
        <v>2.4</v>
      </c>
      <c r="T34" t="n">
        <v>0.5701254275940704</v>
      </c>
      <c r="U34" t="n">
        <v>-41.89723320158103</v>
      </c>
      <c r="V34" t="n">
        <v>9777</v>
      </c>
      <c r="W34" t="n">
        <v>11229.5</v>
      </c>
      <c r="X34" t="n">
        <v>12657.5</v>
      </c>
      <c r="Y34" t="n">
        <v>0</v>
      </c>
      <c r="Z34" t="n">
        <v>0</v>
      </c>
      <c r="AA34" t="n">
        <v>0</v>
      </c>
      <c r="AB34" t="n">
        <v>7318.101278049493</v>
      </c>
      <c r="AC34" t="n">
        <v>25.3</v>
      </c>
      <c r="AD34" t="n">
        <v>51.9</v>
      </c>
      <c r="AE34" t="n">
        <v>91.09999999999999</v>
      </c>
      <c r="AF34" t="n">
        <v>51.8</v>
      </c>
      <c r="AG34" t="inlineStr">
        <is>
          <t>C</t>
        </is>
      </c>
    </row>
    <row r="35">
      <c r="A35" t="inlineStr">
        <is>
          <t>A468530</t>
        </is>
      </c>
      <c r="B35" t="inlineStr">
        <is>
          <t>프로티나</t>
        </is>
      </c>
      <c r="C35" t="inlineStr"/>
      <c r="D35" t="inlineStr"/>
      <c r="E35" t="n">
        <v>-90</v>
      </c>
      <c r="F35" t="n">
        <v>-398</v>
      </c>
      <c r="G35" t="n">
        <v>-633.8</v>
      </c>
      <c r="H35" t="n">
        <v>151.2</v>
      </c>
      <c r="I35" t="n">
        <v>578.8</v>
      </c>
      <c r="J35" t="n">
        <v>1346.9</v>
      </c>
      <c r="K35" t="n">
        <v>37500</v>
      </c>
      <c r="L35" t="n">
        <v>56676</v>
      </c>
      <c r="M35" t="n">
        <v>21.2535</v>
      </c>
      <c r="N35" t="n">
        <v>82144.5</v>
      </c>
      <c r="O35" t="n">
        <v>0.6899548965542428</v>
      </c>
      <c r="P35" t="n">
        <v>4.212455363978465</v>
      </c>
      <c r="Q35" t="n">
        <v>26.4240755187279</v>
      </c>
      <c r="R35" t="n">
        <v>15.52149517029838</v>
      </c>
      <c r="S35" t="n">
        <v>10.9</v>
      </c>
      <c r="T35" t="n">
        <v>4.022191400832176</v>
      </c>
      <c r="U35" t="n">
        <v>-32.06521739130434</v>
      </c>
      <c r="V35" t="n">
        <v>41515</v>
      </c>
      <c r="W35" t="n">
        <v>45720</v>
      </c>
      <c r="X35" t="n">
        <v>60701.66666666666</v>
      </c>
      <c r="Y35" t="n">
        <v>0</v>
      </c>
      <c r="Z35" t="n">
        <v>0</v>
      </c>
      <c r="AA35" t="n">
        <v>0</v>
      </c>
      <c r="AB35" t="n">
        <v>21901.2520670683</v>
      </c>
      <c r="AC35" t="n">
        <v>42</v>
      </c>
      <c r="AD35" t="n">
        <v>52</v>
      </c>
      <c r="AE35" t="n">
        <v>73.3</v>
      </c>
      <c r="AF35" t="n">
        <v>53.3</v>
      </c>
      <c r="AG35" t="inlineStr">
        <is>
          <t>C</t>
        </is>
      </c>
    </row>
    <row r="36">
      <c r="A36" t="inlineStr">
        <is>
          <t>A480370</t>
        </is>
      </c>
      <c r="B36" t="inlineStr">
        <is>
          <t>씨케이솔루션</t>
        </is>
      </c>
      <c r="C36" t="inlineStr"/>
      <c r="D36" t="inlineStr"/>
      <c r="E36" t="n">
        <v>-0</v>
      </c>
      <c r="F36" t="n">
        <v>-0.2</v>
      </c>
      <c r="G36" t="n">
        <v>-6.7</v>
      </c>
      <c r="H36" t="n">
        <v>2</v>
      </c>
      <c r="I36" t="n">
        <v>-16.2</v>
      </c>
      <c r="J36" t="n">
        <v>-41.5</v>
      </c>
      <c r="K36" t="n">
        <v>1695</v>
      </c>
      <c r="L36" t="n">
        <v>83117</v>
      </c>
      <c r="M36" t="n">
        <v>1.40883315</v>
      </c>
      <c r="N36" t="n">
        <v>508554.25</v>
      </c>
      <c r="O36" t="n">
        <v>0.1634378239882962</v>
      </c>
      <c r="P36" t="n">
        <v>3.803006529090272</v>
      </c>
      <c r="Q36" t="n">
        <v>26.91091179220579</v>
      </c>
      <c r="R36" t="n">
        <v>45.20518668370926</v>
      </c>
      <c r="S36" t="n">
        <v>-18.3</v>
      </c>
      <c r="T36" t="n">
        <v>0.5338078291814874</v>
      </c>
      <c r="U36" t="n">
        <v>-34.04669260700389</v>
      </c>
      <c r="V36" t="n">
        <v>1889.2</v>
      </c>
      <c r="W36" t="n">
        <v>2175.35</v>
      </c>
      <c r="X36" t="n">
        <v>2311.766666666667</v>
      </c>
      <c r="Y36" t="n">
        <v>0</v>
      </c>
      <c r="Z36" t="n">
        <v>0</v>
      </c>
      <c r="AA36" t="n">
        <v>0</v>
      </c>
      <c r="AB36" t="n">
        <v>1350.251298248238</v>
      </c>
      <c r="AC36" t="n">
        <v>31.2</v>
      </c>
      <c r="AD36" t="n">
        <v>46.5</v>
      </c>
      <c r="AE36" t="n">
        <v>8.1</v>
      </c>
      <c r="AF36" t="n">
        <v>34.2</v>
      </c>
      <c r="AG36" t="inlineStr">
        <is>
          <t>D</t>
        </is>
      </c>
    </row>
    <row r="37">
      <c r="A37" t="inlineStr">
        <is>
          <t>A479960</t>
        </is>
      </c>
      <c r="B37" t="inlineStr">
        <is>
          <t>위너스</t>
        </is>
      </c>
      <c r="C37" t="inlineStr"/>
      <c r="D37" t="inlineStr"/>
      <c r="E37" t="n">
        <v>0</v>
      </c>
      <c r="F37" t="n">
        <v>0</v>
      </c>
      <c r="G37" t="n">
        <v>2.3</v>
      </c>
      <c r="H37" t="n">
        <v>2.6</v>
      </c>
      <c r="I37" t="n">
        <v>1.1</v>
      </c>
      <c r="J37" t="n">
        <v>16.4</v>
      </c>
      <c r="K37" t="n">
        <v>7780</v>
      </c>
      <c r="L37" t="n">
        <v>16167</v>
      </c>
      <c r="M37" t="n">
        <v>1.2577926</v>
      </c>
      <c r="N37" t="n">
        <v>70197.55</v>
      </c>
      <c r="O37" t="n">
        <v>0.2303071830854496</v>
      </c>
      <c r="P37" t="n">
        <v>4.918350267144604</v>
      </c>
      <c r="Q37" t="n">
        <v>27.12031543758427</v>
      </c>
      <c r="R37" t="n">
        <v>7.03420309730529</v>
      </c>
      <c r="S37" t="n">
        <v>20.1</v>
      </c>
      <c r="T37" t="n">
        <v>1.170351105331591</v>
      </c>
      <c r="U37" t="n">
        <v>-43.82671480144404</v>
      </c>
      <c r="V37" t="n">
        <v>9017</v>
      </c>
      <c r="W37" t="n">
        <v>10223.5</v>
      </c>
      <c r="X37" t="n">
        <v>10271.5</v>
      </c>
      <c r="Y37" t="n">
        <v>0</v>
      </c>
      <c r="Z37" t="n">
        <v>0</v>
      </c>
      <c r="AA37" t="n">
        <v>0</v>
      </c>
      <c r="AB37" t="n">
        <v>6152.589869742916</v>
      </c>
      <c r="AC37" t="n">
        <v>27.7</v>
      </c>
      <c r="AD37" t="n">
        <v>58.4</v>
      </c>
      <c r="AE37" t="n">
        <v>11.9</v>
      </c>
      <c r="AF37" t="n">
        <v>39.9</v>
      </c>
      <c r="AG37" t="inlineStr">
        <is>
          <t>D</t>
        </is>
      </c>
    </row>
    <row r="38">
      <c r="A38" t="inlineStr">
        <is>
          <t>A389650</t>
        </is>
      </c>
      <c r="B38" t="inlineStr">
        <is>
          <t>넥스트바이오메디컬</t>
        </is>
      </c>
      <c r="C38" t="inlineStr"/>
      <c r="D38" t="inlineStr"/>
      <c r="E38" t="n">
        <v>-8.1</v>
      </c>
      <c r="F38" t="n">
        <v>-83.90000000000001</v>
      </c>
      <c r="G38" t="n">
        <v>-65.2</v>
      </c>
      <c r="H38" t="n">
        <v>-80.09999999999999</v>
      </c>
      <c r="I38" t="n">
        <v>264.6</v>
      </c>
      <c r="J38" t="n">
        <v>1029.7</v>
      </c>
      <c r="K38" t="n">
        <v>41850</v>
      </c>
      <c r="L38" t="n">
        <v>70328</v>
      </c>
      <c r="M38" t="n">
        <v>29.432268</v>
      </c>
      <c r="N38" t="n">
        <v>77598.35000000001</v>
      </c>
      <c r="O38" t="n">
        <v>0.9063079305165638</v>
      </c>
      <c r="P38" t="n">
        <v>3.367211096051569</v>
      </c>
      <c r="Q38" t="n">
        <v>27.40089671387138</v>
      </c>
      <c r="R38" t="n">
        <v>17.57268896720598</v>
      </c>
      <c r="S38" t="n">
        <v>9.800000000000001</v>
      </c>
      <c r="T38" t="n">
        <v>-1.529411764705879</v>
      </c>
      <c r="U38" t="n">
        <v>-30.82644628099174</v>
      </c>
      <c r="V38" t="n">
        <v>44390</v>
      </c>
      <c r="W38" t="n">
        <v>49255</v>
      </c>
      <c r="X38" t="n">
        <v>61755</v>
      </c>
      <c r="Y38" t="n">
        <v>0</v>
      </c>
      <c r="Z38" t="n">
        <v>0</v>
      </c>
      <c r="AA38" t="n">
        <v>0</v>
      </c>
      <c r="AB38" t="n">
        <v>23490.81791500197</v>
      </c>
      <c r="AC38" t="n">
        <v>25.2</v>
      </c>
      <c r="AD38" t="n">
        <v>40.9</v>
      </c>
      <c r="AE38" t="n">
        <v>85.2</v>
      </c>
      <c r="AF38" t="n">
        <v>45</v>
      </c>
      <c r="AG38" t="inlineStr">
        <is>
          <t>D</t>
        </is>
      </c>
    </row>
    <row r="39">
      <c r="A39" t="inlineStr">
        <is>
          <t>A463480</t>
        </is>
      </c>
      <c r="B39" t="inlineStr">
        <is>
          <t>모티브링크</t>
        </is>
      </c>
      <c r="C39" t="inlineStr"/>
      <c r="D39" t="inlineStr"/>
      <c r="E39" t="n">
        <v>0.1</v>
      </c>
      <c r="F39" t="n">
        <v>-0.1</v>
      </c>
      <c r="G39" t="n">
        <v>0.1</v>
      </c>
      <c r="H39" t="n">
        <v>3.7</v>
      </c>
      <c r="I39" t="n">
        <v>-19.9</v>
      </c>
      <c r="J39" t="n">
        <v>-53.8</v>
      </c>
      <c r="K39" t="n">
        <v>5600</v>
      </c>
      <c r="L39" t="n">
        <v>28513</v>
      </c>
      <c r="M39" t="n">
        <v>1.596728</v>
      </c>
      <c r="N39" t="n">
        <v>122790.25</v>
      </c>
      <c r="O39" t="n">
        <v>0.2322089905346719</v>
      </c>
      <c r="P39" t="n">
        <v>3.790318134053121</v>
      </c>
      <c r="Q39" t="n">
        <v>27.53458992296176</v>
      </c>
      <c r="R39" t="n">
        <v>7.618672023539116</v>
      </c>
      <c r="S39" t="n">
        <v>19.9</v>
      </c>
      <c r="T39" t="n">
        <v>2.003642987249554</v>
      </c>
      <c r="U39" t="n">
        <v>-38.46153846153847</v>
      </c>
      <c r="V39" t="n">
        <v>6297</v>
      </c>
      <c r="W39" t="n">
        <v>7091</v>
      </c>
      <c r="X39" t="n">
        <v>7350.833333333333</v>
      </c>
      <c r="Y39" t="n">
        <v>0</v>
      </c>
      <c r="Z39" t="n">
        <v>0</v>
      </c>
      <c r="AA39" t="n">
        <v>0</v>
      </c>
      <c r="AB39" t="n">
        <v>4002.018438106872</v>
      </c>
      <c r="AC39" t="n">
        <v>31.9</v>
      </c>
      <c r="AD39" t="n">
        <v>52</v>
      </c>
      <c r="AE39" t="n">
        <v>12.6</v>
      </c>
      <c r="AF39" t="n">
        <v>38.1</v>
      </c>
      <c r="AG39" t="inlineStr">
        <is>
          <t>D</t>
        </is>
      </c>
    </row>
    <row r="40">
      <c r="A40" t="inlineStr">
        <is>
          <t>A380550</t>
        </is>
      </c>
      <c r="B40" t="inlineStr">
        <is>
          <t>뉴로핏</t>
        </is>
      </c>
      <c r="C40" t="inlineStr"/>
      <c r="D40" t="inlineStr"/>
      <c r="E40" t="n">
        <v>-5.5</v>
      </c>
      <c r="F40" t="n">
        <v>-12.3</v>
      </c>
      <c r="G40" t="n">
        <v>-72.8</v>
      </c>
      <c r="H40" t="n">
        <v>75</v>
      </c>
      <c r="I40" t="n">
        <v>191.6</v>
      </c>
      <c r="J40" t="n">
        <v>213.9</v>
      </c>
      <c r="K40" t="n">
        <v>13310</v>
      </c>
      <c r="L40" t="n">
        <v>157333</v>
      </c>
      <c r="M40" t="n">
        <v>20.9410223</v>
      </c>
      <c r="N40" t="n">
        <v>479759.6</v>
      </c>
      <c r="O40" t="n">
        <v>0.3279413272814135</v>
      </c>
      <c r="P40" t="n">
        <v>4.143621770817418</v>
      </c>
      <c r="Q40" t="n">
        <v>27.68195735658069</v>
      </c>
      <c r="R40" t="n">
        <v>20.05547093703864</v>
      </c>
      <c r="S40" t="n">
        <v>7.6</v>
      </c>
      <c r="T40" t="n">
        <v>0.5287009063444037</v>
      </c>
      <c r="U40" t="n">
        <v>-33.21625689914701</v>
      </c>
      <c r="V40" t="n">
        <v>15358</v>
      </c>
      <c r="W40" t="n">
        <v>16747</v>
      </c>
      <c r="X40" t="n">
        <v>19825.83333333333</v>
      </c>
      <c r="Y40" t="n">
        <v>0</v>
      </c>
      <c r="Z40" t="n">
        <v>0</v>
      </c>
      <c r="AA40" t="n">
        <v>0</v>
      </c>
      <c r="AB40" t="n">
        <v>7568.144874545229</v>
      </c>
      <c r="AC40" t="n">
        <v>32.9</v>
      </c>
      <c r="AD40" t="n">
        <v>59.3</v>
      </c>
      <c r="AE40" t="n">
        <v>28.1</v>
      </c>
      <c r="AF40" t="n">
        <v>45.1</v>
      </c>
      <c r="AG40" t="inlineStr">
        <is>
          <t>D</t>
        </is>
      </c>
    </row>
    <row r="41">
      <c r="A41" t="inlineStr">
        <is>
          <t>A475580</t>
        </is>
      </c>
      <c r="B41" t="inlineStr">
        <is>
          <t>에이럭스</t>
        </is>
      </c>
      <c r="C41" t="inlineStr"/>
      <c r="D41" t="inlineStr"/>
      <c r="E41" t="n">
        <v>0.1</v>
      </c>
      <c r="F41" t="n">
        <v>-28.4</v>
      </c>
      <c r="G41" t="n">
        <v>-17.2</v>
      </c>
      <c r="H41" t="n">
        <v>36.3</v>
      </c>
      <c r="I41" t="n">
        <v>-179.3</v>
      </c>
      <c r="J41" t="n">
        <v>-201.9</v>
      </c>
      <c r="K41" t="n">
        <v>8400</v>
      </c>
      <c r="L41" t="n">
        <v>100782</v>
      </c>
      <c r="M41" t="n">
        <v>8.465688</v>
      </c>
      <c r="N41" t="n">
        <v>252390.45</v>
      </c>
      <c r="O41" t="n">
        <v>0.3993098788008817</v>
      </c>
      <c r="P41" t="n">
        <v>3.218004285557948</v>
      </c>
      <c r="Q41" t="n">
        <v>27.82219649526951</v>
      </c>
      <c r="R41" t="n">
        <v>11.36025781736394</v>
      </c>
      <c r="S41" t="n">
        <v>16.5</v>
      </c>
      <c r="T41" t="n">
        <v>2.314250913520088</v>
      </c>
      <c r="U41" t="n">
        <v>-32.9608938547486</v>
      </c>
      <c r="V41" t="n">
        <v>8929</v>
      </c>
      <c r="W41" t="n">
        <v>9780.5</v>
      </c>
      <c r="X41" t="n">
        <v>11677.66666666667</v>
      </c>
      <c r="Y41" t="n">
        <v>0</v>
      </c>
      <c r="Z41" t="n">
        <v>0</v>
      </c>
      <c r="AA41" t="n">
        <v>0</v>
      </c>
      <c r="AB41" t="n">
        <v>4484.198690372323</v>
      </c>
      <c r="AC41" t="n">
        <v>38.9</v>
      </c>
      <c r="AD41" t="n">
        <v>44.8</v>
      </c>
      <c r="AE41" t="n">
        <v>40</v>
      </c>
      <c r="AF41" t="n">
        <v>42.1</v>
      </c>
      <c r="AG41" t="inlineStr">
        <is>
          <t>D</t>
        </is>
      </c>
    </row>
    <row r="42">
      <c r="A42" t="inlineStr">
        <is>
          <t>A081180</t>
        </is>
      </c>
      <c r="B42" t="inlineStr">
        <is>
          <t>쎄크</t>
        </is>
      </c>
      <c r="C42" t="inlineStr"/>
      <c r="D42" t="inlineStr"/>
      <c r="E42" t="n">
        <v>-5.2</v>
      </c>
      <c r="F42" t="n">
        <v>-27.8</v>
      </c>
      <c r="G42" t="n">
        <v>-222.8</v>
      </c>
      <c r="H42" t="n">
        <v>-4.1</v>
      </c>
      <c r="I42" t="n">
        <v>-40</v>
      </c>
      <c r="J42" t="n">
        <v>-14</v>
      </c>
      <c r="K42" t="n">
        <v>8120</v>
      </c>
      <c r="L42" t="n">
        <v>95658</v>
      </c>
      <c r="M42" t="n">
        <v>7.7674296</v>
      </c>
      <c r="N42" t="n">
        <v>334221.7</v>
      </c>
      <c r="O42" t="n">
        <v>0.2862112184816246</v>
      </c>
      <c r="P42" t="n">
        <v>5.104289362389959</v>
      </c>
      <c r="Q42" t="n">
        <v>27.83566389625166</v>
      </c>
      <c r="R42" t="n">
        <v>47.57854084254931</v>
      </c>
      <c r="S42" t="n">
        <v>-19.7</v>
      </c>
      <c r="T42" t="n">
        <v>-1.813784764207982</v>
      </c>
      <c r="U42" t="n">
        <v>-39.89637305699482</v>
      </c>
      <c r="V42" t="n">
        <v>9763</v>
      </c>
      <c r="W42" t="n">
        <v>10715</v>
      </c>
      <c r="X42" t="n">
        <v>12022.5</v>
      </c>
      <c r="Y42" t="n">
        <v>0</v>
      </c>
      <c r="Z42" t="n">
        <v>0</v>
      </c>
      <c r="AA42" t="n">
        <v>0</v>
      </c>
      <c r="AB42" t="n">
        <v>6819.458228211079</v>
      </c>
      <c r="AC42" t="n">
        <v>15.8</v>
      </c>
      <c r="AD42" t="n">
        <v>30.1</v>
      </c>
      <c r="AE42" t="n">
        <v>20</v>
      </c>
      <c r="AF42" t="n">
        <v>23.8</v>
      </c>
      <c r="AG42" t="inlineStr">
        <is>
          <t>F</t>
        </is>
      </c>
    </row>
    <row r="43">
      <c r="A43" t="inlineStr">
        <is>
          <t>A394800</t>
        </is>
      </c>
      <c r="B43" t="inlineStr">
        <is>
          <t>쓰리빌리언</t>
        </is>
      </c>
      <c r="C43" t="inlineStr"/>
      <c r="D43" t="inlineStr"/>
      <c r="E43" t="n">
        <v>40.8</v>
      </c>
      <c r="F43" t="n">
        <v>-1.9</v>
      </c>
      <c r="G43" t="n">
        <v>-15.9</v>
      </c>
      <c r="H43" t="n">
        <v>-34.4</v>
      </c>
      <c r="I43" t="n">
        <v>64.2</v>
      </c>
      <c r="J43" t="n">
        <v>-215.5</v>
      </c>
      <c r="K43" t="n">
        <v>8420</v>
      </c>
      <c r="L43" t="n">
        <v>137921</v>
      </c>
      <c r="M43" t="n">
        <v>11.6129482</v>
      </c>
      <c r="N43" t="n">
        <v>224414.55</v>
      </c>
      <c r="O43" t="n">
        <v>0.6145813629285624</v>
      </c>
      <c r="P43" t="n">
        <v>4.315316116933221</v>
      </c>
      <c r="Q43" t="n">
        <v>28.03754777713498</v>
      </c>
      <c r="R43" t="n">
        <v>9.848744252483746</v>
      </c>
      <c r="S43" t="n">
        <v>18.2</v>
      </c>
      <c r="T43" t="n">
        <v>0.2380952380952372</v>
      </c>
      <c r="U43" t="n">
        <v>-35.87204874333587</v>
      </c>
      <c r="V43" t="n">
        <v>9189</v>
      </c>
      <c r="W43" t="n">
        <v>10088</v>
      </c>
      <c r="X43" t="n">
        <v>12024.5</v>
      </c>
      <c r="Y43" t="n">
        <v>0</v>
      </c>
      <c r="Z43" t="n">
        <v>0</v>
      </c>
      <c r="AA43" t="n">
        <v>0</v>
      </c>
      <c r="AB43" t="n">
        <v>4698.014810310255</v>
      </c>
      <c r="AC43" t="n">
        <v>29.2</v>
      </c>
      <c r="AD43" t="n">
        <v>50.5</v>
      </c>
      <c r="AE43" t="n">
        <v>65.90000000000001</v>
      </c>
      <c r="AF43" t="n">
        <v>47.2</v>
      </c>
      <c r="AG43" t="inlineStr">
        <is>
          <t>D</t>
        </is>
      </c>
    </row>
    <row r="44">
      <c r="A44" t="inlineStr">
        <is>
          <t>A382150</t>
        </is>
      </c>
      <c r="B44" t="inlineStr">
        <is>
          <t>온코크로스</t>
        </is>
      </c>
      <c r="C44" t="inlineStr"/>
      <c r="D44" t="inlineStr"/>
      <c r="E44" t="n">
        <v>0.1</v>
      </c>
      <c r="F44" t="n">
        <v>-0</v>
      </c>
      <c r="G44" t="n">
        <v>-0.5</v>
      </c>
      <c r="H44" t="n">
        <v>9</v>
      </c>
      <c r="I44" t="n">
        <v>17.8</v>
      </c>
      <c r="J44" t="n">
        <v>44.4</v>
      </c>
      <c r="K44" t="n">
        <v>5350</v>
      </c>
      <c r="L44" t="n">
        <v>79300</v>
      </c>
      <c r="M44" t="n">
        <v>4.24255</v>
      </c>
      <c r="N44" t="n">
        <v>101241.35</v>
      </c>
      <c r="O44" t="n">
        <v>0.7832767935235948</v>
      </c>
      <c r="P44" t="n">
        <v>4.796942505803871</v>
      </c>
      <c r="Q44" t="n">
        <v>28.04204756373867</v>
      </c>
      <c r="R44" t="n">
        <v>16.79804151573177</v>
      </c>
      <c r="S44" t="n">
        <v>11.2</v>
      </c>
      <c r="T44" t="n">
        <v>-1.654411764705888</v>
      </c>
      <c r="U44" t="n">
        <v>-34.7560975609756</v>
      </c>
      <c r="V44" t="n">
        <v>6262</v>
      </c>
      <c r="W44" t="n">
        <v>6718</v>
      </c>
      <c r="X44" t="n">
        <v>7317.166666666667</v>
      </c>
      <c r="Y44" t="n">
        <v>0</v>
      </c>
      <c r="Z44" t="n">
        <v>0</v>
      </c>
      <c r="AA44" t="n">
        <v>0</v>
      </c>
      <c r="AB44" t="n">
        <v>3033.444455261691</v>
      </c>
      <c r="AC44" t="n">
        <v>21.3</v>
      </c>
      <c r="AD44" t="n">
        <v>64.5</v>
      </c>
      <c r="AE44" t="n">
        <v>79.3</v>
      </c>
      <c r="AF44" t="n">
        <v>54.5</v>
      </c>
      <c r="AG44" t="inlineStr">
        <is>
          <t>C</t>
        </is>
      </c>
    </row>
    <row r="45">
      <c r="A45" t="inlineStr">
        <is>
          <t>A476830</t>
        </is>
      </c>
      <c r="B45" t="inlineStr">
        <is>
          <t>알지노믹스</t>
        </is>
      </c>
      <c r="C45" t="inlineStr"/>
      <c r="D45" t="inlineStr"/>
      <c r="E45" t="n">
        <v>-557.6</v>
      </c>
      <c r="F45" t="n">
        <v>-1867.9</v>
      </c>
      <c r="G45" t="n">
        <v>-5921.3</v>
      </c>
      <c r="H45" t="n">
        <v>941</v>
      </c>
      <c r="I45" t="n">
        <v>1190</v>
      </c>
      <c r="J45" t="n">
        <v>8876.5</v>
      </c>
      <c r="K45" t="n">
        <v>110000</v>
      </c>
      <c r="L45" t="n">
        <v>231128</v>
      </c>
      <c r="M45" t="n">
        <v>254.2408</v>
      </c>
      <c r="N45" t="n">
        <v>299938.8</v>
      </c>
      <c r="O45" t="n">
        <v>0.7705838657752848</v>
      </c>
      <c r="P45" t="n">
        <v>4.713369948615691</v>
      </c>
      <c r="Q45" t="n">
        <v>28.10363720759566</v>
      </c>
      <c r="R45" t="n">
        <v>17.72003770124819</v>
      </c>
      <c r="S45" t="n">
        <v>10.4</v>
      </c>
      <c r="T45" t="n">
        <v>-0.8115419296663706</v>
      </c>
      <c r="U45" t="n">
        <v>-36.96275071633238</v>
      </c>
      <c r="V45" t="n">
        <v>128640</v>
      </c>
      <c r="W45" t="n">
        <v>142665</v>
      </c>
      <c r="X45" t="n">
        <v>177491.6666666667</v>
      </c>
      <c r="Y45" t="n">
        <v>0</v>
      </c>
      <c r="Z45" t="n">
        <v>0</v>
      </c>
      <c r="AA45" t="n">
        <v>0</v>
      </c>
      <c r="AB45" t="n">
        <v>77209.57399046747</v>
      </c>
      <c r="AC45" t="n">
        <v>22.8</v>
      </c>
      <c r="AD45" t="n">
        <v>50.5</v>
      </c>
      <c r="AE45" t="n">
        <v>77.8</v>
      </c>
      <c r="AF45" t="n">
        <v>47.7</v>
      </c>
      <c r="AG45" t="inlineStr">
        <is>
          <t>D</t>
        </is>
      </c>
    </row>
    <row r="46">
      <c r="A46" t="inlineStr">
        <is>
          <t>A464500</t>
        </is>
      </c>
      <c r="B46" t="inlineStr">
        <is>
          <t>아이언디바이스</t>
        </is>
      </c>
      <c r="C46" t="inlineStr"/>
      <c r="D46" t="inlineStr"/>
      <c r="E46" t="n">
        <v>-0.2</v>
      </c>
      <c r="F46" t="n">
        <v>-0</v>
      </c>
      <c r="G46" t="n">
        <v>-1.1</v>
      </c>
      <c r="H46" t="n">
        <v>12.1</v>
      </c>
      <c r="I46" t="n">
        <v>-25.9</v>
      </c>
      <c r="J46" t="n">
        <v>7.1</v>
      </c>
      <c r="K46" t="n">
        <v>2490</v>
      </c>
      <c r="L46" t="n">
        <v>121592</v>
      </c>
      <c r="M46" t="n">
        <v>3.0276408</v>
      </c>
      <c r="N46" t="n">
        <v>232656.85</v>
      </c>
      <c r="O46" t="n">
        <v>0.5226237697278202</v>
      </c>
      <c r="P46" t="n">
        <v>4.916860653293123</v>
      </c>
      <c r="Q46" t="n">
        <v>28.39242256124363</v>
      </c>
      <c r="R46" t="n">
        <v>41.5690483252186</v>
      </c>
      <c r="S46" t="n">
        <v>-13.2</v>
      </c>
      <c r="T46" t="n">
        <v>-2.734375</v>
      </c>
      <c r="U46" t="n">
        <v>-33.86454183266932</v>
      </c>
      <c r="V46" t="n">
        <v>3042.5</v>
      </c>
      <c r="W46" t="n">
        <v>3324.5</v>
      </c>
      <c r="X46" t="n">
        <v>3424</v>
      </c>
      <c r="Y46" t="n">
        <v>0</v>
      </c>
      <c r="Z46" t="n">
        <v>0</v>
      </c>
      <c r="AA46" t="n">
        <v>0</v>
      </c>
      <c r="AB46" t="n">
        <v>1635.422366176235</v>
      </c>
      <c r="AC46" t="n">
        <v>20.1</v>
      </c>
      <c r="AD46" t="n">
        <v>52.4</v>
      </c>
      <c r="AE46" t="n">
        <v>55.6</v>
      </c>
      <c r="AF46" t="n">
        <v>43.3</v>
      </c>
      <c r="AG46" t="inlineStr">
        <is>
          <t>D</t>
        </is>
      </c>
    </row>
    <row r="47">
      <c r="A47" t="inlineStr">
        <is>
          <t>A424870</t>
        </is>
      </c>
      <c r="B47" t="inlineStr">
        <is>
          <t>이뮨온시아</t>
        </is>
      </c>
      <c r="C47" t="inlineStr"/>
      <c r="D47" t="inlineStr"/>
      <c r="E47" t="n">
        <v>-47.1</v>
      </c>
      <c r="F47" t="n">
        <v>-115.8</v>
      </c>
      <c r="G47" t="n">
        <v>-507.2</v>
      </c>
      <c r="H47" t="n">
        <v>-25.4</v>
      </c>
      <c r="I47" t="n">
        <v>-82.7</v>
      </c>
      <c r="J47" t="n">
        <v>0.6</v>
      </c>
      <c r="K47" t="n">
        <v>4425</v>
      </c>
      <c r="L47" t="n">
        <v>1883495</v>
      </c>
      <c r="M47" t="n">
        <v>83.34465375000001</v>
      </c>
      <c r="N47" t="n">
        <v>512446.75</v>
      </c>
      <c r="O47" t="n">
        <v>3.675494087922306</v>
      </c>
      <c r="P47" t="n">
        <v>5.066704153608313</v>
      </c>
      <c r="Q47" t="n">
        <v>28.77866580071285</v>
      </c>
      <c r="R47" t="n">
        <v>27.95774680434242</v>
      </c>
      <c r="S47" t="n">
        <v>0.8</v>
      </c>
      <c r="T47" t="n">
        <v>-15.71428571428571</v>
      </c>
      <c r="U47" t="n">
        <v>-36.05491329479769</v>
      </c>
      <c r="V47" t="n">
        <v>5704.5</v>
      </c>
      <c r="W47" t="n">
        <v>5879.25</v>
      </c>
      <c r="X47" t="n">
        <v>7098</v>
      </c>
      <c r="Y47" t="n">
        <v>0</v>
      </c>
      <c r="Z47" t="n">
        <v>0</v>
      </c>
      <c r="AA47" t="n">
        <v>0</v>
      </c>
      <c r="AB47" t="n">
        <v>2285.443870282241</v>
      </c>
      <c r="AC47" t="n">
        <v>12.2</v>
      </c>
      <c r="AD47" t="n">
        <v>19.8</v>
      </c>
      <c r="AE47" t="n">
        <v>99.3</v>
      </c>
      <c r="AF47" t="n">
        <v>33.4</v>
      </c>
      <c r="AG47" t="inlineStr">
        <is>
          <t>D</t>
        </is>
      </c>
    </row>
    <row r="48">
      <c r="A48" t="inlineStr">
        <is>
          <t>A403850</t>
        </is>
      </c>
      <c r="B48" t="inlineStr">
        <is>
          <t>더핑크퐁컴퍼니</t>
        </is>
      </c>
      <c r="C48" t="inlineStr"/>
      <c r="D48" t="inlineStr"/>
      <c r="E48" t="n">
        <v>-19.4</v>
      </c>
      <c r="F48" t="n">
        <v>-29.4</v>
      </c>
      <c r="G48" t="n">
        <v>-336.5</v>
      </c>
      <c r="H48" t="n">
        <v>13.5</v>
      </c>
      <c r="I48" t="n">
        <v>55.1</v>
      </c>
      <c r="J48" t="n">
        <v>64</v>
      </c>
      <c r="K48" t="n">
        <v>11600</v>
      </c>
      <c r="L48" t="n">
        <v>87724</v>
      </c>
      <c r="M48" t="n">
        <v>10.175984</v>
      </c>
      <c r="N48" t="n">
        <v>71887.8</v>
      </c>
      <c r="O48" t="n">
        <v>1.220290508264267</v>
      </c>
      <c r="P48" t="n">
        <v>3.456253494558745</v>
      </c>
      <c r="Q48" t="n">
        <v>29.20033544963842</v>
      </c>
      <c r="R48" t="n">
        <v>21.2869047370525</v>
      </c>
      <c r="S48" t="n">
        <v>7.9</v>
      </c>
      <c r="T48" t="n">
        <v>-8.37282780410743</v>
      </c>
      <c r="U48" t="n">
        <v>-32.24299065420561</v>
      </c>
      <c r="V48" t="n">
        <v>12541</v>
      </c>
      <c r="W48" t="n">
        <v>13781</v>
      </c>
      <c r="X48" t="n">
        <v>16057.5</v>
      </c>
      <c r="Y48" t="n">
        <v>0</v>
      </c>
      <c r="Z48" t="n">
        <v>0</v>
      </c>
      <c r="AA48" t="n">
        <v>0</v>
      </c>
      <c r="AB48" t="n">
        <v>6180.920047337582</v>
      </c>
      <c r="AC48" t="n">
        <v>17.8</v>
      </c>
      <c r="AD48" t="n">
        <v>46.1</v>
      </c>
      <c r="AE48" t="n">
        <v>94.09999999999999</v>
      </c>
      <c r="AF48" t="n">
        <v>47.2</v>
      </c>
      <c r="AG48" t="inlineStr">
        <is>
          <t>D</t>
        </is>
      </c>
    </row>
    <row r="49">
      <c r="A49" t="inlineStr">
        <is>
          <t>A096250</t>
        </is>
      </c>
      <c r="B49" t="inlineStr">
        <is>
          <t>와이즈넛</t>
        </is>
      </c>
      <c r="C49" t="inlineStr"/>
      <c r="D49" t="inlineStr"/>
      <c r="E49" t="n">
        <v>-4.1</v>
      </c>
      <c r="F49" t="n">
        <v>-45.5</v>
      </c>
      <c r="G49" t="n">
        <v>-67.8</v>
      </c>
      <c r="H49" t="n">
        <v>15.4</v>
      </c>
      <c r="I49" t="n">
        <v>3.3</v>
      </c>
      <c r="J49" t="n">
        <v>-42.4</v>
      </c>
      <c r="K49" t="n">
        <v>7890</v>
      </c>
      <c r="L49" t="n">
        <v>63814</v>
      </c>
      <c r="M49" t="n">
        <v>5.0349246</v>
      </c>
      <c r="N49" t="n">
        <v>69432.10000000001</v>
      </c>
      <c r="O49" t="n">
        <v>0.9190849765454306</v>
      </c>
      <c r="P49" t="n">
        <v>2.860164487758514</v>
      </c>
      <c r="Q49" t="n">
        <v>29.41620506392772</v>
      </c>
      <c r="R49" t="n">
        <v>13.11065535473562</v>
      </c>
      <c r="S49" t="n">
        <v>16.3</v>
      </c>
      <c r="T49" t="n">
        <v>3.27225130890052</v>
      </c>
      <c r="U49" t="n">
        <v>-28.79061371841155</v>
      </c>
      <c r="V49" t="n">
        <v>8421</v>
      </c>
      <c r="W49" t="n">
        <v>9047</v>
      </c>
      <c r="X49" t="n">
        <v>10057.66666666667</v>
      </c>
      <c r="Y49" t="n">
        <v>0</v>
      </c>
      <c r="Z49" t="n">
        <v>0</v>
      </c>
      <c r="AA49" t="n">
        <v>0</v>
      </c>
      <c r="AB49" t="n">
        <v>3237.519518331735</v>
      </c>
      <c r="AC49" t="n">
        <v>46.2</v>
      </c>
      <c r="AD49" t="n">
        <v>42</v>
      </c>
      <c r="AE49" t="n">
        <v>85.90000000000001</v>
      </c>
      <c r="AF49" t="n">
        <v>52</v>
      </c>
      <c r="AG49" t="inlineStr">
        <is>
          <t>C</t>
        </is>
      </c>
    </row>
    <row r="50">
      <c r="A50" t="inlineStr">
        <is>
          <t>A466410</t>
        </is>
      </c>
      <c r="B50" t="inlineStr">
        <is>
          <t>사이냅소프트</t>
        </is>
      </c>
      <c r="C50" t="inlineStr"/>
      <c r="D50" t="inlineStr"/>
      <c r="E50" t="n">
        <v>-0.5</v>
      </c>
      <c r="F50" t="n">
        <v>-0.6</v>
      </c>
      <c r="G50" t="n">
        <v>-8.300000000000001</v>
      </c>
      <c r="H50" t="n">
        <v>-2.4</v>
      </c>
      <c r="I50" t="n">
        <v>-9.199999999999999</v>
      </c>
      <c r="J50" t="n">
        <v>-38.8</v>
      </c>
      <c r="K50" t="n">
        <v>9740</v>
      </c>
      <c r="L50" t="n">
        <v>32637</v>
      </c>
      <c r="M50" t="n">
        <v>3.1788438</v>
      </c>
      <c r="N50" t="n">
        <v>31268.2</v>
      </c>
      <c r="O50" t="n">
        <v>1.043776104796566</v>
      </c>
      <c r="P50" t="n">
        <v>1.842450114393102</v>
      </c>
      <c r="Q50" t="n">
        <v>29.4244187101707</v>
      </c>
      <c r="R50" t="n">
        <v>15.81278349190592</v>
      </c>
      <c r="S50" t="n">
        <v>13.6</v>
      </c>
      <c r="T50" t="n">
        <v>-3.373015873015872</v>
      </c>
      <c r="U50" t="n">
        <v>-16.89419795221843</v>
      </c>
      <c r="V50" t="n">
        <v>10190</v>
      </c>
      <c r="W50" t="n">
        <v>10568</v>
      </c>
      <c r="X50" t="n">
        <v>11136.5</v>
      </c>
      <c r="Y50" t="n">
        <v>0</v>
      </c>
      <c r="Z50" t="n">
        <v>0</v>
      </c>
      <c r="AA50" t="n">
        <v>0</v>
      </c>
      <c r="AB50" t="n">
        <v>1823.662018548046</v>
      </c>
      <c r="AC50" t="n">
        <v>34.1</v>
      </c>
      <c r="AD50" t="n">
        <v>41.7</v>
      </c>
      <c r="AE50" t="n">
        <v>90.40000000000001</v>
      </c>
      <c r="AF50" t="n">
        <v>49.2</v>
      </c>
      <c r="AG50" t="inlineStr">
        <is>
          <t>D</t>
        </is>
      </c>
    </row>
    <row r="51">
      <c r="A51" t="inlineStr">
        <is>
          <t>A456160</t>
        </is>
      </c>
      <c r="B51" t="inlineStr">
        <is>
          <t>지투지바이오</t>
        </is>
      </c>
      <c r="C51" t="inlineStr"/>
      <c r="D51" t="inlineStr"/>
      <c r="E51" t="n">
        <v>39.8</v>
      </c>
      <c r="F51" t="n">
        <v>-651.8</v>
      </c>
      <c r="G51" t="n">
        <v>-558.2</v>
      </c>
      <c r="H51" t="n">
        <v>178.8</v>
      </c>
      <c r="I51" t="n">
        <v>-196</v>
      </c>
      <c r="J51" t="n">
        <v>690.5</v>
      </c>
      <c r="K51" t="n">
        <v>53500</v>
      </c>
      <c r="L51" t="n">
        <v>184821</v>
      </c>
      <c r="M51" t="n">
        <v>98.87923499999999</v>
      </c>
      <c r="N51" t="n">
        <v>287970.95</v>
      </c>
      <c r="O51" t="n">
        <v>0.6418043208872284</v>
      </c>
      <c r="P51" t="n">
        <v>4.826872010598523</v>
      </c>
      <c r="Q51" t="n">
        <v>29.52438262368824</v>
      </c>
      <c r="R51" t="n">
        <v>12.06475727174111</v>
      </c>
      <c r="S51" t="n">
        <v>17.5</v>
      </c>
      <c r="T51" t="n">
        <v>-0.3724394785847296</v>
      </c>
      <c r="U51" t="n">
        <v>-37.20657276995305</v>
      </c>
      <c r="V51" t="n">
        <v>59040</v>
      </c>
      <c r="W51" t="n">
        <v>65005</v>
      </c>
      <c r="X51" t="n">
        <v>75601.66666666667</v>
      </c>
      <c r="Y51" t="n">
        <v>0</v>
      </c>
      <c r="Z51" t="n">
        <v>0</v>
      </c>
      <c r="AA51" t="n">
        <v>0</v>
      </c>
      <c r="AB51" t="n">
        <v>31889.40757978227</v>
      </c>
      <c r="AC51" t="n">
        <v>24.5</v>
      </c>
      <c r="AD51" t="n">
        <v>53.7</v>
      </c>
      <c r="AE51" t="n">
        <v>71.09999999999999</v>
      </c>
      <c r="AF51" t="n">
        <v>48.4</v>
      </c>
      <c r="AG51" t="inlineStr">
        <is>
          <t>D</t>
        </is>
      </c>
    </row>
    <row r="52">
      <c r="A52" t="inlineStr">
        <is>
          <t>A226590</t>
        </is>
      </c>
      <c r="B52" t="inlineStr">
        <is>
          <t>엠디바이스</t>
        </is>
      </c>
      <c r="C52" t="inlineStr"/>
      <c r="D52" t="inlineStr"/>
      <c r="E52" t="n">
        <v>-0.8</v>
      </c>
      <c r="F52" t="n">
        <v>16.1</v>
      </c>
      <c r="G52" t="n">
        <v>-563.4</v>
      </c>
      <c r="H52" t="n">
        <v>51.1</v>
      </c>
      <c r="I52" t="n">
        <v>325.1</v>
      </c>
      <c r="J52" t="n">
        <v>-29.7</v>
      </c>
      <c r="K52" t="n">
        <v>16220</v>
      </c>
      <c r="L52" t="n">
        <v>103388</v>
      </c>
      <c r="M52" t="n">
        <v>16.7695336</v>
      </c>
      <c r="N52" t="n">
        <v>313871.8</v>
      </c>
      <c r="O52" t="n">
        <v>0.3293956322294644</v>
      </c>
      <c r="P52" t="n">
        <v>6.30291575444754</v>
      </c>
      <c r="Q52" t="n">
        <v>29.84754636639502</v>
      </c>
      <c r="R52" t="n">
        <v>15.06251235716726</v>
      </c>
      <c r="S52" t="n">
        <v>14.8</v>
      </c>
      <c r="T52" t="n">
        <v>3.246339910884788</v>
      </c>
      <c r="U52" t="n">
        <v>-44.54700854700855</v>
      </c>
      <c r="V52" t="n">
        <v>19010</v>
      </c>
      <c r="W52" t="n">
        <v>21805</v>
      </c>
      <c r="X52" t="n">
        <v>25970.83333333333</v>
      </c>
      <c r="Y52" t="n">
        <v>0</v>
      </c>
      <c r="Z52" t="n">
        <v>0</v>
      </c>
      <c r="AA52" t="n">
        <v>0</v>
      </c>
      <c r="AB52" t="n">
        <v>15135.38343019258</v>
      </c>
      <c r="AC52" t="n">
        <v>34</v>
      </c>
      <c r="AD52" t="n">
        <v>63.1</v>
      </c>
      <c r="AE52" t="n">
        <v>28.9</v>
      </c>
      <c r="AF52" t="n">
        <v>47.5</v>
      </c>
      <c r="AG52" t="inlineStr">
        <is>
          <t>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</cols>
  <sheetData>
    <row r="1">
      <c r="A1" s="20" t="inlineStr">
        <is>
          <t>코드</t>
        </is>
      </c>
      <c r="B1" s="20" t="inlineStr">
        <is>
          <t>코드명</t>
        </is>
      </c>
      <c r="C1" s="20" t="inlineStr">
        <is>
          <t>상장일</t>
        </is>
      </c>
      <c r="D1" s="20" t="inlineStr">
        <is>
          <t>days_since_ipo</t>
        </is>
      </c>
      <c r="E1" s="20" t="inlineStr">
        <is>
          <t>기관_일간</t>
        </is>
      </c>
      <c r="F1" s="20" t="inlineStr">
        <is>
          <t>기관_5일</t>
        </is>
      </c>
      <c r="G1" s="20" t="inlineStr">
        <is>
          <t>기관_20일</t>
        </is>
      </c>
      <c r="H1" s="20" t="inlineStr">
        <is>
          <t>외국인_일간</t>
        </is>
      </c>
      <c r="I1" s="20" t="inlineStr">
        <is>
          <t>외국인_5일</t>
        </is>
      </c>
      <c r="J1" s="20" t="inlineStr">
        <is>
          <t>외국인_20일</t>
        </is>
      </c>
      <c r="K1" s="20" t="inlineStr">
        <is>
          <t>현재가</t>
        </is>
      </c>
      <c r="L1" s="20" t="inlineStr">
        <is>
          <t>거래량</t>
        </is>
      </c>
      <c r="M1" s="20" t="inlineStr">
        <is>
          <t>거래대금(억)</t>
        </is>
      </c>
      <c r="N1" s="20" t="inlineStr">
        <is>
          <t>20일평균거래량</t>
        </is>
      </c>
      <c r="O1" s="20" t="inlineStr">
        <is>
          <t>RVOL(20)</t>
        </is>
      </c>
      <c r="P1" s="20" t="inlineStr">
        <is>
          <t>변동성(30D)</t>
        </is>
      </c>
      <c r="Q1" s="20" t="inlineStr">
        <is>
          <t>RSI(14)</t>
        </is>
      </c>
      <c r="R1" s="20" t="inlineStr">
        <is>
          <t>전일RSI(14)</t>
        </is>
      </c>
      <c r="S1" s="20" t="inlineStr">
        <is>
          <t>RSI변화량</t>
        </is>
      </c>
      <c r="T1" s="20" t="inlineStr">
        <is>
          <t>1일수익률(%)</t>
        </is>
      </c>
      <c r="U1" s="20" t="inlineStr">
        <is>
          <t>20일수익률(%)</t>
        </is>
      </c>
      <c r="V1" s="20" t="inlineStr">
        <is>
          <t>10일이평</t>
        </is>
      </c>
      <c r="W1" s="20" t="inlineStr">
        <is>
          <t>20일이평</t>
        </is>
      </c>
      <c r="X1" s="20" t="inlineStr">
        <is>
          <t>60일이평</t>
        </is>
      </c>
      <c r="Y1" s="20" t="inlineStr">
        <is>
          <t>10일선돌파</t>
        </is>
      </c>
      <c r="Z1" s="20" t="inlineStr">
        <is>
          <t>20일선돌파</t>
        </is>
      </c>
      <c r="AA1" s="20" t="inlineStr">
        <is>
          <t>60일선돌파</t>
        </is>
      </c>
      <c r="AB1" s="20" t="inlineStr">
        <is>
          <t>BB폭</t>
        </is>
      </c>
      <c r="AC1" s="20" t="inlineStr">
        <is>
          <t>모멘텀스코어</t>
        </is>
      </c>
      <c r="AD1" s="20" t="inlineStr">
        <is>
          <t>수급스코어</t>
        </is>
      </c>
      <c r="AE1" s="20" t="inlineStr">
        <is>
          <t>거래량스코어</t>
        </is>
      </c>
      <c r="AF1" s="20" t="inlineStr">
        <is>
          <t>종합스코어</t>
        </is>
      </c>
      <c r="AG1" s="20" t="inlineStr">
        <is>
          <t>등급</t>
        </is>
      </c>
    </row>
    <row r="2">
      <c r="A2" t="inlineStr">
        <is>
          <t>A483650</t>
        </is>
      </c>
      <c r="B2" t="inlineStr">
        <is>
          <t>달바글로벌</t>
        </is>
      </c>
      <c r="C2" t="inlineStr"/>
      <c r="D2" t="inlineStr"/>
      <c r="E2" t="n">
        <v>-1546</v>
      </c>
      <c r="F2" t="n">
        <v>-4786</v>
      </c>
      <c r="G2" t="n">
        <v>-3164.1</v>
      </c>
      <c r="H2" t="n">
        <v>1589.7</v>
      </c>
      <c r="I2" t="n">
        <v>7177.5</v>
      </c>
      <c r="J2" t="n">
        <v>12949.7</v>
      </c>
      <c r="K2" t="n">
        <v>198100</v>
      </c>
      <c r="L2" t="n">
        <v>261115</v>
      </c>
      <c r="M2" t="n">
        <v>517.268815</v>
      </c>
      <c r="N2" t="n">
        <v>254263.05</v>
      </c>
      <c r="O2" t="n">
        <v>1.026948272664864</v>
      </c>
      <c r="P2" t="n">
        <v>4.674422902671763</v>
      </c>
      <c r="Q2" t="n">
        <v>43.86710140349594</v>
      </c>
      <c r="R2" t="n">
        <v>25.40613978679156</v>
      </c>
      <c r="S2" t="n">
        <v>18.5</v>
      </c>
      <c r="T2" t="n">
        <v>5.709711846318033</v>
      </c>
      <c r="U2" t="n">
        <v>-11.36465324384787</v>
      </c>
      <c r="V2" t="n">
        <v>205400</v>
      </c>
      <c r="W2" t="n">
        <v>217875</v>
      </c>
      <c r="X2" t="n">
        <v>189655</v>
      </c>
      <c r="Y2" t="n">
        <v>0</v>
      </c>
      <c r="Z2" t="n">
        <v>0</v>
      </c>
      <c r="AA2" t="n">
        <v>1</v>
      </c>
      <c r="AB2" t="n">
        <v>74619.35687911441</v>
      </c>
      <c r="AC2" t="n">
        <v>69.5</v>
      </c>
      <c r="AD2" t="n">
        <v>50.7</v>
      </c>
      <c r="AE2" t="n">
        <v>89.59999999999999</v>
      </c>
      <c r="AF2" t="n">
        <v>64.09999999999999</v>
      </c>
      <c r="AG2" t="inlineStr">
        <is>
          <t>C</t>
        </is>
      </c>
    </row>
    <row r="3">
      <c r="A3" t="inlineStr">
        <is>
          <t>A476830</t>
        </is>
      </c>
      <c r="B3" t="inlineStr">
        <is>
          <t>알지노믹스</t>
        </is>
      </c>
      <c r="C3" t="inlineStr"/>
      <c r="D3" t="inlineStr"/>
      <c r="E3" t="n">
        <v>-557.6</v>
      </c>
      <c r="F3" t="n">
        <v>-1867.9</v>
      </c>
      <c r="G3" t="n">
        <v>-5921.3</v>
      </c>
      <c r="H3" t="n">
        <v>941</v>
      </c>
      <c r="I3" t="n">
        <v>1190</v>
      </c>
      <c r="J3" t="n">
        <v>8876.5</v>
      </c>
      <c r="K3" t="n">
        <v>110000</v>
      </c>
      <c r="L3" t="n">
        <v>231128</v>
      </c>
      <c r="M3" t="n">
        <v>254.2408</v>
      </c>
      <c r="N3" t="n">
        <v>299938.8</v>
      </c>
      <c r="O3" t="n">
        <v>0.7705838657752848</v>
      </c>
      <c r="P3" t="n">
        <v>4.713369948615691</v>
      </c>
      <c r="Q3" t="n">
        <v>28.10363720759566</v>
      </c>
      <c r="R3" t="n">
        <v>17.72003770124819</v>
      </c>
      <c r="S3" t="n">
        <v>10.4</v>
      </c>
      <c r="T3" t="n">
        <v>-0.8115419296663706</v>
      </c>
      <c r="U3" t="n">
        <v>-36.96275071633238</v>
      </c>
      <c r="V3" t="n">
        <v>128640</v>
      </c>
      <c r="W3" t="n">
        <v>142665</v>
      </c>
      <c r="X3" t="n">
        <v>177491.6666666667</v>
      </c>
      <c r="Y3" t="n">
        <v>0</v>
      </c>
      <c r="Z3" t="n">
        <v>0</v>
      </c>
      <c r="AA3" t="n">
        <v>0</v>
      </c>
      <c r="AB3" t="n">
        <v>77209.57399046747</v>
      </c>
      <c r="AC3" t="n">
        <v>22.8</v>
      </c>
      <c r="AD3" t="n">
        <v>50.5</v>
      </c>
      <c r="AE3" t="n">
        <v>77.8</v>
      </c>
      <c r="AF3" t="n">
        <v>47.7</v>
      </c>
      <c r="AG3" t="inlineStr">
        <is>
          <t>D</t>
        </is>
      </c>
    </row>
    <row r="4">
      <c r="A4" t="inlineStr">
        <is>
          <t>A062040</t>
        </is>
      </c>
      <c r="B4" t="inlineStr">
        <is>
          <t>산일전기</t>
        </is>
      </c>
      <c r="C4" t="inlineStr"/>
      <c r="D4" t="inlineStr"/>
      <c r="E4" t="n">
        <v>-1011.3</v>
      </c>
      <c r="F4" t="n">
        <v>-7275.2</v>
      </c>
      <c r="G4" t="n">
        <v>-6348.7</v>
      </c>
      <c r="H4" t="n">
        <v>507.6</v>
      </c>
      <c r="I4" t="n">
        <v>7642.7</v>
      </c>
      <c r="J4" t="n">
        <v>9497.799999999999</v>
      </c>
      <c r="K4" t="n">
        <v>222500</v>
      </c>
      <c r="L4" t="n">
        <v>261313</v>
      </c>
      <c r="M4" t="n">
        <v>581.421425</v>
      </c>
      <c r="N4" t="n">
        <v>442267.4</v>
      </c>
      <c r="O4" t="n">
        <v>0.5908484324189393</v>
      </c>
      <c r="P4" t="n">
        <v>7.426170114430857</v>
      </c>
      <c r="Q4" t="n">
        <v>40.06211593941831</v>
      </c>
      <c r="R4" t="n">
        <v>15.96014391668304</v>
      </c>
      <c r="S4" t="n">
        <v>24.1</v>
      </c>
      <c r="T4" t="n">
        <v>-1.111111111111107</v>
      </c>
      <c r="U4" t="n">
        <v>-33.28335832083958</v>
      </c>
      <c r="V4" t="n">
        <v>254300</v>
      </c>
      <c r="W4" t="n">
        <v>276025</v>
      </c>
      <c r="X4" t="n">
        <v>207160</v>
      </c>
      <c r="Y4" t="n">
        <v>0</v>
      </c>
      <c r="Z4" t="n">
        <v>0</v>
      </c>
      <c r="AA4" t="n">
        <v>1</v>
      </c>
      <c r="AB4" t="n">
        <v>134989.2393372227</v>
      </c>
      <c r="AC4" t="n">
        <v>34.8</v>
      </c>
      <c r="AD4" t="n">
        <v>50.3</v>
      </c>
      <c r="AE4" t="n">
        <v>63</v>
      </c>
      <c r="AF4" t="n">
        <v>48.2</v>
      </c>
      <c r="AG4" t="inlineStr">
        <is>
          <t>D</t>
        </is>
      </c>
    </row>
    <row r="5">
      <c r="A5" t="inlineStr">
        <is>
          <t>A456010</t>
        </is>
      </c>
      <c r="B5" t="inlineStr">
        <is>
          <t>아이씨티케이</t>
        </is>
      </c>
      <c r="C5" t="inlineStr"/>
      <c r="D5" t="inlineStr"/>
      <c r="E5" t="n">
        <v>12.1</v>
      </c>
      <c r="F5" t="n">
        <v>12.2</v>
      </c>
      <c r="G5" t="n">
        <v>-139.3</v>
      </c>
      <c r="H5" t="n">
        <v>319.6</v>
      </c>
      <c r="I5" t="n">
        <v>1076.5</v>
      </c>
      <c r="J5" t="n">
        <v>1675.5</v>
      </c>
      <c r="K5" t="n">
        <v>28150</v>
      </c>
      <c r="L5" t="n">
        <v>616584</v>
      </c>
      <c r="M5" t="n">
        <v>173.568396</v>
      </c>
      <c r="N5" t="n">
        <v>2167570.05</v>
      </c>
      <c r="O5" t="n">
        <v>0.284458626838842</v>
      </c>
      <c r="P5" t="n">
        <v>9.163145241409346</v>
      </c>
      <c r="Q5" t="n">
        <v>54.39310551756087</v>
      </c>
      <c r="R5" t="n">
        <v>55.76564009536217</v>
      </c>
      <c r="S5" t="n">
        <v>-1.4</v>
      </c>
      <c r="T5" t="n">
        <v>-2.595155709342556</v>
      </c>
      <c r="U5" t="n">
        <v>19.53290870488323</v>
      </c>
      <c r="V5" t="n">
        <v>29285</v>
      </c>
      <c r="W5" t="n">
        <v>25559.5</v>
      </c>
      <c r="X5" t="n">
        <v>20211.33333333333</v>
      </c>
      <c r="Y5" t="n">
        <v>0</v>
      </c>
      <c r="Z5" t="n">
        <v>1</v>
      </c>
      <c r="AA5" t="n">
        <v>1</v>
      </c>
      <c r="AB5" t="n">
        <v>19888.89761703886</v>
      </c>
      <c r="AC5" t="n">
        <v>53.9</v>
      </c>
      <c r="AD5" t="n">
        <v>84.3</v>
      </c>
      <c r="AE5" t="n">
        <v>18.5</v>
      </c>
      <c r="AF5" t="n">
        <v>62</v>
      </c>
      <c r="AG5" t="inlineStr">
        <is>
          <t>C</t>
        </is>
      </c>
    </row>
    <row r="6">
      <c r="A6" t="inlineStr">
        <is>
          <t>A475830</t>
        </is>
      </c>
      <c r="B6" t="inlineStr">
        <is>
          <t>오름테라퓨틱</t>
        </is>
      </c>
      <c r="C6" t="inlineStr"/>
      <c r="D6" t="inlineStr"/>
      <c r="E6" t="n">
        <v>36.5</v>
      </c>
      <c r="F6" t="n">
        <v>-76.3</v>
      </c>
      <c r="G6" t="n">
        <v>-949.2</v>
      </c>
      <c r="H6" t="n">
        <v>222.4</v>
      </c>
      <c r="I6" t="n">
        <v>1149.7</v>
      </c>
      <c r="J6" t="n">
        <v>3960.9</v>
      </c>
      <c r="K6" t="n">
        <v>64100</v>
      </c>
      <c r="L6" t="n">
        <v>115638</v>
      </c>
      <c r="M6" t="n">
        <v>74.123958</v>
      </c>
      <c r="N6" t="n">
        <v>206970.5</v>
      </c>
      <c r="O6" t="n">
        <v>0.5587173051231938</v>
      </c>
      <c r="P6" t="n">
        <v>4.640935627479804</v>
      </c>
      <c r="Q6" t="n">
        <v>33.40098878100214</v>
      </c>
      <c r="R6" t="n">
        <v>18.73063733017192</v>
      </c>
      <c r="S6" t="n">
        <v>14.7</v>
      </c>
      <c r="T6" t="n">
        <v>0.6279434850863463</v>
      </c>
      <c r="U6" t="n">
        <v>-31.73588924387646</v>
      </c>
      <c r="V6" t="n">
        <v>68050</v>
      </c>
      <c r="W6" t="n">
        <v>73210</v>
      </c>
      <c r="X6" t="n">
        <v>89981.66666666667</v>
      </c>
      <c r="Y6" t="n">
        <v>0</v>
      </c>
      <c r="Z6" t="n">
        <v>0</v>
      </c>
      <c r="AA6" t="n">
        <v>0</v>
      </c>
      <c r="AB6" t="n">
        <v>32296.23409690525</v>
      </c>
      <c r="AC6" t="n">
        <v>40.1</v>
      </c>
      <c r="AD6" t="n">
        <v>72.40000000000001</v>
      </c>
      <c r="AE6" t="n">
        <v>59.3</v>
      </c>
      <c r="AF6" t="n">
        <v>60.1</v>
      </c>
      <c r="AG6" t="inlineStr">
        <is>
          <t>C</t>
        </is>
      </c>
    </row>
    <row r="7">
      <c r="A7" t="inlineStr">
        <is>
          <t>A456160</t>
        </is>
      </c>
      <c r="B7" t="inlineStr">
        <is>
          <t>지투지바이오</t>
        </is>
      </c>
      <c r="C7" t="inlineStr"/>
      <c r="D7" t="inlineStr"/>
      <c r="E7" t="n">
        <v>39.8</v>
      </c>
      <c r="F7" t="n">
        <v>-651.8</v>
      </c>
      <c r="G7" t="n">
        <v>-558.2</v>
      </c>
      <c r="H7" t="n">
        <v>178.8</v>
      </c>
      <c r="I7" t="n">
        <v>-196</v>
      </c>
      <c r="J7" t="n">
        <v>690.5</v>
      </c>
      <c r="K7" t="n">
        <v>53500</v>
      </c>
      <c r="L7" t="n">
        <v>184821</v>
      </c>
      <c r="M7" t="n">
        <v>98.87923499999999</v>
      </c>
      <c r="N7" t="n">
        <v>287970.95</v>
      </c>
      <c r="O7" t="n">
        <v>0.6418043208872284</v>
      </c>
      <c r="P7" t="n">
        <v>4.826872010598523</v>
      </c>
      <c r="Q7" t="n">
        <v>29.52438262368824</v>
      </c>
      <c r="R7" t="n">
        <v>12.06475727174111</v>
      </c>
      <c r="S7" t="n">
        <v>17.5</v>
      </c>
      <c r="T7" t="n">
        <v>-0.3724394785847296</v>
      </c>
      <c r="U7" t="n">
        <v>-37.20657276995305</v>
      </c>
      <c r="V7" t="n">
        <v>59040</v>
      </c>
      <c r="W7" t="n">
        <v>65005</v>
      </c>
      <c r="X7" t="n">
        <v>75601.66666666667</v>
      </c>
      <c r="Y7" t="n">
        <v>0</v>
      </c>
      <c r="Z7" t="n">
        <v>0</v>
      </c>
      <c r="AA7" t="n">
        <v>0</v>
      </c>
      <c r="AB7" t="n">
        <v>31889.40757978227</v>
      </c>
      <c r="AC7" t="n">
        <v>24.5</v>
      </c>
      <c r="AD7" t="n">
        <v>53.7</v>
      </c>
      <c r="AE7" t="n">
        <v>71.09999999999999</v>
      </c>
      <c r="AF7" t="n">
        <v>48.4</v>
      </c>
      <c r="AG7" t="inlineStr">
        <is>
          <t>D</t>
        </is>
      </c>
    </row>
    <row r="8">
      <c r="A8" t="inlineStr">
        <is>
          <t>A031210</t>
        </is>
      </c>
      <c r="B8" t="inlineStr">
        <is>
          <t>서울보증보험</t>
        </is>
      </c>
      <c r="C8" t="inlineStr"/>
      <c r="D8" t="inlineStr"/>
      <c r="E8" t="n">
        <v>-121.3</v>
      </c>
      <c r="F8" t="n">
        <v>-710.5</v>
      </c>
      <c r="G8" t="n">
        <v>-1733.3</v>
      </c>
      <c r="H8" t="n">
        <v>164.1</v>
      </c>
      <c r="I8" t="n">
        <v>396.6</v>
      </c>
      <c r="J8" t="n">
        <v>563.7</v>
      </c>
      <c r="K8" t="n">
        <v>43450</v>
      </c>
      <c r="L8" t="n">
        <v>50107</v>
      </c>
      <c r="M8" t="n">
        <v>21.7714915</v>
      </c>
      <c r="N8" t="n">
        <v>84143.55</v>
      </c>
      <c r="O8" t="n">
        <v>0.5954942476280118</v>
      </c>
      <c r="P8" t="n">
        <v>2.289746073156413</v>
      </c>
      <c r="Q8" t="n">
        <v>37.13082853547521</v>
      </c>
      <c r="R8" t="n">
        <v>28.81926323399954</v>
      </c>
      <c r="S8" t="n">
        <v>8.300000000000001</v>
      </c>
      <c r="T8" t="n">
        <v>0.3464203233256358</v>
      </c>
      <c r="U8" t="n">
        <v>-7.84729586426299</v>
      </c>
      <c r="V8" t="n">
        <v>44415</v>
      </c>
      <c r="W8" t="n">
        <v>45145</v>
      </c>
      <c r="X8" t="n">
        <v>49424.16666666666</v>
      </c>
      <c r="Y8" t="n">
        <v>0</v>
      </c>
      <c r="Z8" t="n">
        <v>0</v>
      </c>
      <c r="AA8" t="n">
        <v>0</v>
      </c>
      <c r="AB8" t="n">
        <v>5308.939828747403</v>
      </c>
      <c r="AC8" t="n">
        <v>57.7</v>
      </c>
      <c r="AD8" t="n">
        <v>49.1</v>
      </c>
      <c r="AE8" t="n">
        <v>63.7</v>
      </c>
      <c r="AF8" t="n">
        <v>54.6</v>
      </c>
      <c r="AG8" t="inlineStr">
        <is>
          <t>C</t>
        </is>
      </c>
    </row>
    <row r="9">
      <c r="A9" t="inlineStr">
        <is>
          <t>A468530</t>
        </is>
      </c>
      <c r="B9" t="inlineStr">
        <is>
          <t>프로티나</t>
        </is>
      </c>
      <c r="C9" t="inlineStr"/>
      <c r="D9" t="inlineStr"/>
      <c r="E9" t="n">
        <v>-90</v>
      </c>
      <c r="F9" t="n">
        <v>-398</v>
      </c>
      <c r="G9" t="n">
        <v>-633.8</v>
      </c>
      <c r="H9" t="n">
        <v>151.2</v>
      </c>
      <c r="I9" t="n">
        <v>578.8</v>
      </c>
      <c r="J9" t="n">
        <v>1346.9</v>
      </c>
      <c r="K9" t="n">
        <v>37500</v>
      </c>
      <c r="L9" t="n">
        <v>56676</v>
      </c>
      <c r="M9" t="n">
        <v>21.2535</v>
      </c>
      <c r="N9" t="n">
        <v>82144.5</v>
      </c>
      <c r="O9" t="n">
        <v>0.6899548965542428</v>
      </c>
      <c r="P9" t="n">
        <v>4.212455363978465</v>
      </c>
      <c r="Q9" t="n">
        <v>26.4240755187279</v>
      </c>
      <c r="R9" t="n">
        <v>15.52149517029838</v>
      </c>
      <c r="S9" t="n">
        <v>10.9</v>
      </c>
      <c r="T9" t="n">
        <v>4.022191400832176</v>
      </c>
      <c r="U9" t="n">
        <v>-32.06521739130434</v>
      </c>
      <c r="V9" t="n">
        <v>41515</v>
      </c>
      <c r="W9" t="n">
        <v>45720</v>
      </c>
      <c r="X9" t="n">
        <v>60701.66666666666</v>
      </c>
      <c r="Y9" t="n">
        <v>0</v>
      </c>
      <c r="Z9" t="n">
        <v>0</v>
      </c>
      <c r="AA9" t="n">
        <v>0</v>
      </c>
      <c r="AB9" t="n">
        <v>21901.2520670683</v>
      </c>
      <c r="AC9" t="n">
        <v>42</v>
      </c>
      <c r="AD9" t="n">
        <v>52</v>
      </c>
      <c r="AE9" t="n">
        <v>73.3</v>
      </c>
      <c r="AF9" t="n">
        <v>53.3</v>
      </c>
      <c r="AG9" t="inlineStr">
        <is>
          <t>C</t>
        </is>
      </c>
    </row>
    <row r="10">
      <c r="A10" t="inlineStr">
        <is>
          <t>A457370</t>
        </is>
      </c>
      <c r="B10" t="inlineStr">
        <is>
          <t>한켐</t>
        </is>
      </c>
      <c r="C10" t="inlineStr"/>
      <c r="D10" t="inlineStr"/>
      <c r="E10" t="n">
        <v>9.9</v>
      </c>
      <c r="F10" t="n">
        <v>41.9</v>
      </c>
      <c r="G10" t="n">
        <v>42.4</v>
      </c>
      <c r="H10" t="n">
        <v>145.3</v>
      </c>
      <c r="I10" t="n">
        <v>-157.2</v>
      </c>
      <c r="J10" t="n">
        <v>-150.3</v>
      </c>
      <c r="K10" t="n">
        <v>11290</v>
      </c>
      <c r="L10" t="n">
        <v>603831</v>
      </c>
      <c r="M10" t="n">
        <v>68.1725199</v>
      </c>
      <c r="N10" t="n">
        <v>1403514.2</v>
      </c>
      <c r="O10" t="n">
        <v>0.4302279235935055</v>
      </c>
      <c r="P10" t="n">
        <v>7.574256574882651</v>
      </c>
      <c r="Q10" t="n">
        <v>60.1125847289442</v>
      </c>
      <c r="R10" t="n">
        <v>64.61265157161277</v>
      </c>
      <c r="S10" t="n">
        <v>-4.5</v>
      </c>
      <c r="T10" t="n">
        <v>-4.078164825828379</v>
      </c>
      <c r="U10" t="n">
        <v>21.65948275862069</v>
      </c>
      <c r="V10" t="n">
        <v>10636</v>
      </c>
      <c r="W10" t="n">
        <v>9665</v>
      </c>
      <c r="X10" t="n">
        <v>8964.166666666666</v>
      </c>
      <c r="Y10" t="n">
        <v>1</v>
      </c>
      <c r="Z10" t="n">
        <v>1</v>
      </c>
      <c r="AA10" t="n">
        <v>1</v>
      </c>
      <c r="AB10" t="n">
        <v>6385.120861898598</v>
      </c>
      <c r="AC10" t="n">
        <v>71.5</v>
      </c>
      <c r="AD10" t="n">
        <v>67</v>
      </c>
      <c r="AE10" t="n">
        <v>46.7</v>
      </c>
      <c r="AF10" t="n">
        <v>64.3</v>
      </c>
      <c r="AG10" t="inlineStr">
        <is>
          <t>C</t>
        </is>
      </c>
    </row>
    <row r="11">
      <c r="A11" t="inlineStr">
        <is>
          <t>A478340</t>
        </is>
      </c>
      <c r="B11" t="inlineStr">
        <is>
          <t>나라스페이스테크놀로지</t>
        </is>
      </c>
      <c r="C11" t="inlineStr"/>
      <c r="D11" t="inlineStr"/>
      <c r="E11" t="n">
        <v>-8.5</v>
      </c>
      <c r="F11" t="n">
        <v>-9.5</v>
      </c>
      <c r="G11" t="n">
        <v>-183</v>
      </c>
      <c r="H11" t="n">
        <v>137.8</v>
      </c>
      <c r="I11" t="n">
        <v>-29</v>
      </c>
      <c r="J11" t="n">
        <v>75</v>
      </c>
      <c r="K11" t="n">
        <v>23400</v>
      </c>
      <c r="L11" t="n">
        <v>118111</v>
      </c>
      <c r="M11" t="n">
        <v>27.637974</v>
      </c>
      <c r="N11" t="n">
        <v>312140.85</v>
      </c>
      <c r="O11" t="n">
        <v>0.3783900761467139</v>
      </c>
      <c r="P11" t="n">
        <v>5.61651096022293</v>
      </c>
      <c r="Q11" t="n">
        <v>34.49119842269177</v>
      </c>
      <c r="R11" t="n">
        <v>25.96141457119954</v>
      </c>
      <c r="S11" t="n">
        <v>8.5</v>
      </c>
      <c r="T11" t="n">
        <v>5.643340857787815</v>
      </c>
      <c r="U11" t="n">
        <v>-31.47877013177159</v>
      </c>
      <c r="V11" t="n">
        <v>26605</v>
      </c>
      <c r="W11" t="n">
        <v>28842.5</v>
      </c>
      <c r="X11" t="n">
        <v>35685</v>
      </c>
      <c r="Y11" t="n">
        <v>0</v>
      </c>
      <c r="Z11" t="n">
        <v>0</v>
      </c>
      <c r="AA11" t="n">
        <v>0</v>
      </c>
      <c r="AB11" t="n">
        <v>13172.42334736115</v>
      </c>
      <c r="AC11" t="n">
        <v>50.2</v>
      </c>
      <c r="AD11" t="n">
        <v>49.1</v>
      </c>
      <c r="AE11" t="n">
        <v>37</v>
      </c>
      <c r="AF11" t="n">
        <v>47</v>
      </c>
      <c r="AG11" t="inlineStr">
        <is>
          <t>D</t>
        </is>
      </c>
    </row>
    <row r="12">
      <c r="A12" t="inlineStr">
        <is>
          <t>A491000</t>
        </is>
      </c>
      <c r="B12" t="inlineStr">
        <is>
          <t>리브스메드</t>
        </is>
      </c>
      <c r="C12" t="inlineStr"/>
      <c r="D12" t="inlineStr"/>
      <c r="E12" t="n">
        <v>-124.2</v>
      </c>
      <c r="F12" t="n">
        <v>-797.1</v>
      </c>
      <c r="G12" t="n">
        <v>-1957.8</v>
      </c>
      <c r="H12" t="n">
        <v>130.3</v>
      </c>
      <c r="I12" t="n">
        <v>-2070.8</v>
      </c>
      <c r="J12" t="n">
        <v>2326.7</v>
      </c>
      <c r="K12" t="n">
        <v>49400</v>
      </c>
      <c r="L12" t="n">
        <v>179150</v>
      </c>
      <c r="M12" t="n">
        <v>88.5001</v>
      </c>
      <c r="N12" t="n">
        <v>420450.45</v>
      </c>
      <c r="O12" t="n">
        <v>0.4260906368396086</v>
      </c>
      <c r="P12" t="n">
        <v>6.33253828260372</v>
      </c>
      <c r="Q12" t="n">
        <v>35.12055377384325</v>
      </c>
      <c r="R12" t="n">
        <v>25.14617850348284</v>
      </c>
      <c r="S12" t="n">
        <v>10</v>
      </c>
      <c r="T12" t="n">
        <v>3.023983315954126</v>
      </c>
      <c r="U12" t="n">
        <v>-29.22636103151863</v>
      </c>
      <c r="V12" t="n">
        <v>59575</v>
      </c>
      <c r="W12" t="n">
        <v>61687.5</v>
      </c>
      <c r="X12" t="n">
        <v>67859.16666666667</v>
      </c>
      <c r="Y12" t="n">
        <v>0</v>
      </c>
      <c r="Z12" t="n">
        <v>0</v>
      </c>
      <c r="AA12" t="n">
        <v>0</v>
      </c>
      <c r="AB12" t="n">
        <v>30419.23733429224</v>
      </c>
      <c r="AC12" t="n">
        <v>50.3</v>
      </c>
      <c r="AD12" t="n">
        <v>33.2</v>
      </c>
      <c r="AE12" t="n">
        <v>45.9</v>
      </c>
      <c r="AF12" t="n">
        <v>40.9</v>
      </c>
      <c r="AG12" t="inlineStr">
        <is>
          <t>D</t>
        </is>
      </c>
    </row>
    <row r="13">
      <c r="A13" t="inlineStr">
        <is>
          <t>A475960</t>
        </is>
      </c>
      <c r="B13" t="inlineStr">
        <is>
          <t>토모큐브</t>
        </is>
      </c>
      <c r="C13" t="inlineStr"/>
      <c r="D13" t="inlineStr"/>
      <c r="E13" t="n">
        <v>-79.5</v>
      </c>
      <c r="F13" t="n">
        <v>-379.3</v>
      </c>
      <c r="G13" t="n">
        <v>-321.9</v>
      </c>
      <c r="H13" t="n">
        <v>116.9</v>
      </c>
      <c r="I13" t="n">
        <v>3.3</v>
      </c>
      <c r="J13" t="n">
        <v>-1004.3</v>
      </c>
      <c r="K13" t="n">
        <v>42100</v>
      </c>
      <c r="L13" t="n">
        <v>46755</v>
      </c>
      <c r="M13" t="n">
        <v>19.683855</v>
      </c>
      <c r="N13" t="n">
        <v>133608.85</v>
      </c>
      <c r="O13" t="n">
        <v>0.3499393939847547</v>
      </c>
      <c r="P13" t="n">
        <v>4.118270225579671</v>
      </c>
      <c r="Q13" t="n">
        <v>35.04672621951362</v>
      </c>
      <c r="R13" t="n">
        <v>55.3510197158462</v>
      </c>
      <c r="S13" t="n">
        <v>-20.3</v>
      </c>
      <c r="T13" t="n">
        <v>3.186274509803932</v>
      </c>
      <c r="U13" t="n">
        <v>-28.15699658703072</v>
      </c>
      <c r="V13" t="n">
        <v>44090</v>
      </c>
      <c r="W13" t="n">
        <v>48217.5</v>
      </c>
      <c r="X13" t="n">
        <v>52709.16666666666</v>
      </c>
      <c r="Y13" t="n">
        <v>0</v>
      </c>
      <c r="Z13" t="n">
        <v>0</v>
      </c>
      <c r="AA13" t="n">
        <v>0</v>
      </c>
      <c r="AB13" t="n">
        <v>22725.38807496794</v>
      </c>
      <c r="AC13" t="n">
        <v>51.5</v>
      </c>
      <c r="AD13" t="n">
        <v>35.2</v>
      </c>
      <c r="AE13" t="n">
        <v>32.6</v>
      </c>
      <c r="AF13" t="n">
        <v>39.6</v>
      </c>
      <c r="AG13" t="inlineStr">
        <is>
          <t>D</t>
        </is>
      </c>
    </row>
    <row r="14">
      <c r="A14" t="inlineStr">
        <is>
          <t>A217590</t>
        </is>
      </c>
      <c r="B14" t="inlineStr">
        <is>
          <t>티엠씨</t>
        </is>
      </c>
      <c r="C14" t="inlineStr"/>
      <c r="D14" t="inlineStr"/>
      <c r="E14" t="n">
        <v>-112.9</v>
      </c>
      <c r="F14" t="n">
        <v>-250.3</v>
      </c>
      <c r="G14" t="n">
        <v>-148.4</v>
      </c>
      <c r="H14" t="n">
        <v>100.1</v>
      </c>
      <c r="I14" t="n">
        <v>215.5</v>
      </c>
      <c r="J14" t="n">
        <v>368</v>
      </c>
      <c r="K14" t="n">
        <v>19850</v>
      </c>
      <c r="L14" t="n">
        <v>262128</v>
      </c>
      <c r="M14" t="n">
        <v>52.032408</v>
      </c>
      <c r="N14" t="n">
        <v>569036.3</v>
      </c>
      <c r="O14" t="n">
        <v>0.4606525102177136</v>
      </c>
      <c r="P14" t="n">
        <v>7.618028973666155</v>
      </c>
      <c r="Q14" t="n">
        <v>35.96283887614226</v>
      </c>
      <c r="R14" t="n">
        <v>38.33351228725197</v>
      </c>
      <c r="S14" t="n">
        <v>-2.4</v>
      </c>
      <c r="T14" t="n">
        <v>4.74934036939314</v>
      </c>
      <c r="U14" t="n">
        <v>-35.86429725363489</v>
      </c>
      <c r="V14" t="n">
        <v>23950</v>
      </c>
      <c r="W14" t="n">
        <v>26417.5</v>
      </c>
      <c r="X14" t="n">
        <v>24650</v>
      </c>
      <c r="Y14" t="n">
        <v>0</v>
      </c>
      <c r="Z14" t="n">
        <v>0</v>
      </c>
      <c r="AA14" t="n">
        <v>0</v>
      </c>
      <c r="AB14" t="n">
        <v>16250.44452833277</v>
      </c>
      <c r="AC14" t="n">
        <v>46.3</v>
      </c>
      <c r="AD14" t="n">
        <v>51.9</v>
      </c>
      <c r="AE14" t="n">
        <v>49.6</v>
      </c>
      <c r="AF14" t="n">
        <v>49.8</v>
      </c>
      <c r="AG14" t="inlineStr">
        <is>
          <t>D</t>
        </is>
      </c>
    </row>
    <row r="15">
      <c r="A15" t="inlineStr">
        <is>
          <t>A484590</t>
        </is>
      </c>
      <c r="B15" t="inlineStr">
        <is>
          <t>삼양컴텍</t>
        </is>
      </c>
      <c r="C15" t="inlineStr"/>
      <c r="D15" t="inlineStr"/>
      <c r="E15" t="n">
        <v>-68.09999999999999</v>
      </c>
      <c r="F15" t="n">
        <v>-135.2</v>
      </c>
      <c r="G15" t="n">
        <v>-237.9</v>
      </c>
      <c r="H15" t="n">
        <v>97</v>
      </c>
      <c r="I15" t="n">
        <v>105.1</v>
      </c>
      <c r="J15" t="n">
        <v>-164.3</v>
      </c>
      <c r="K15" t="n">
        <v>7910</v>
      </c>
      <c r="L15" t="n">
        <v>109946</v>
      </c>
      <c r="M15" t="n">
        <v>8.6967286</v>
      </c>
      <c r="N15" t="n">
        <v>194110.6</v>
      </c>
      <c r="O15" t="n">
        <v>0.5664090472132898</v>
      </c>
      <c r="P15" t="n">
        <v>4.244511757336517</v>
      </c>
      <c r="Q15" t="n">
        <v>23.56432837450589</v>
      </c>
      <c r="R15" t="n">
        <v>12.04400833356304</v>
      </c>
      <c r="S15" t="n">
        <v>11.5</v>
      </c>
      <c r="T15" t="n">
        <v>1.280409731113963</v>
      </c>
      <c r="U15" t="n">
        <v>-38.82443928847641</v>
      </c>
      <c r="V15" t="n">
        <v>9006</v>
      </c>
      <c r="W15" t="n">
        <v>10070.5</v>
      </c>
      <c r="X15" t="n">
        <v>11756.33333333333</v>
      </c>
      <c r="Y15" t="n">
        <v>0</v>
      </c>
      <c r="Z15" t="n">
        <v>0</v>
      </c>
      <c r="AA15" t="n">
        <v>0</v>
      </c>
      <c r="AB15" t="n">
        <v>5472.372332669664</v>
      </c>
      <c r="AC15" t="n">
        <v>26.6</v>
      </c>
      <c r="AD15" t="n">
        <v>42.6</v>
      </c>
      <c r="AE15" t="n">
        <v>60.7</v>
      </c>
      <c r="AF15" t="n">
        <v>41.4</v>
      </c>
      <c r="AG15" t="inlineStr">
        <is>
          <t>D</t>
        </is>
      </c>
    </row>
    <row r="16">
      <c r="A16" t="inlineStr">
        <is>
          <t>A474650</t>
        </is>
      </c>
      <c r="B16" t="inlineStr">
        <is>
          <t>링크솔루션</t>
        </is>
      </c>
      <c r="C16" t="inlineStr"/>
      <c r="D16" t="inlineStr"/>
      <c r="E16" t="n">
        <v>3.6</v>
      </c>
      <c r="F16" t="n">
        <v>53.1</v>
      </c>
      <c r="G16" t="n">
        <v>-10.4</v>
      </c>
      <c r="H16" t="n">
        <v>87.3</v>
      </c>
      <c r="I16" t="n">
        <v>166</v>
      </c>
      <c r="J16" t="n">
        <v>72.90000000000001</v>
      </c>
      <c r="K16" t="n">
        <v>42500</v>
      </c>
      <c r="L16" t="n">
        <v>57418</v>
      </c>
      <c r="M16" t="n">
        <v>24.40265</v>
      </c>
      <c r="N16" t="n">
        <v>102450.55</v>
      </c>
      <c r="O16" t="n">
        <v>0.5604459907731095</v>
      </c>
      <c r="P16" t="n">
        <v>3.496962236438847</v>
      </c>
      <c r="Q16" t="n">
        <v>25.84897861583133</v>
      </c>
      <c r="R16" t="n">
        <v>17.30718512010093</v>
      </c>
      <c r="S16" t="n">
        <v>8.5</v>
      </c>
      <c r="T16" t="n">
        <v>-2.745995423340963</v>
      </c>
      <c r="U16" t="n">
        <v>-28.45117845117845</v>
      </c>
      <c r="V16" t="n">
        <v>48180</v>
      </c>
      <c r="W16" t="n">
        <v>51837.5</v>
      </c>
      <c r="X16" t="n">
        <v>58299.16666666666</v>
      </c>
      <c r="Y16" t="n">
        <v>0</v>
      </c>
      <c r="Z16" t="n">
        <v>0</v>
      </c>
      <c r="AA16" t="n">
        <v>0</v>
      </c>
      <c r="AB16" t="n">
        <v>19468.93612101632</v>
      </c>
      <c r="AC16" t="n">
        <v>23.6</v>
      </c>
      <c r="AD16" t="n">
        <v>80.40000000000001</v>
      </c>
      <c r="AE16" t="n">
        <v>60</v>
      </c>
      <c r="AF16" t="n">
        <v>59.3</v>
      </c>
      <c r="AG16" t="inlineStr">
        <is>
          <t>C</t>
        </is>
      </c>
    </row>
    <row r="17">
      <c r="A17" t="inlineStr">
        <is>
          <t>A950250</t>
        </is>
      </c>
      <c r="B17" t="inlineStr">
        <is>
          <t>테라뷰</t>
        </is>
      </c>
      <c r="C17" t="inlineStr"/>
      <c r="D17" t="inlineStr"/>
      <c r="E17" t="n">
        <v>-0.1</v>
      </c>
      <c r="F17" t="n">
        <v>-0.1</v>
      </c>
      <c r="G17" t="n">
        <v>-30.7</v>
      </c>
      <c r="H17" t="n">
        <v>82.7</v>
      </c>
      <c r="I17" t="n">
        <v>-78.90000000000001</v>
      </c>
      <c r="J17" t="n">
        <v>-47.9</v>
      </c>
      <c r="K17" t="n">
        <v>3540</v>
      </c>
      <c r="L17" t="n">
        <v>442471</v>
      </c>
      <c r="M17" t="n">
        <v>15.6634734</v>
      </c>
      <c r="N17" t="n">
        <v>959401.55</v>
      </c>
      <c r="O17" t="n">
        <v>0.4611947937753488</v>
      </c>
      <c r="P17" t="n">
        <v>4.006172059660899</v>
      </c>
      <c r="Q17" t="n">
        <v>21.7185031432754</v>
      </c>
      <c r="R17" t="n">
        <v>9.80485327175311</v>
      </c>
      <c r="S17" t="n">
        <v>11.9</v>
      </c>
      <c r="T17" t="n">
        <v>3.812316715542519</v>
      </c>
      <c r="U17" t="n">
        <v>-46.76691729323309</v>
      </c>
      <c r="V17" t="n">
        <v>4081.5</v>
      </c>
      <c r="W17" t="n">
        <v>4772.5</v>
      </c>
      <c r="X17" t="n">
        <v>6407.666666666667</v>
      </c>
      <c r="Y17" t="n">
        <v>0</v>
      </c>
      <c r="Z17" t="n">
        <v>0</v>
      </c>
      <c r="AA17" t="n">
        <v>0</v>
      </c>
      <c r="AB17" t="n">
        <v>3620.918755175133</v>
      </c>
      <c r="AC17" t="n">
        <v>28</v>
      </c>
      <c r="AD17" t="n">
        <v>49.8</v>
      </c>
      <c r="AE17" t="n">
        <v>50.4</v>
      </c>
      <c r="AF17" t="n">
        <v>43.4</v>
      </c>
      <c r="AG17" t="inlineStr">
        <is>
          <t>D</t>
        </is>
      </c>
    </row>
    <row r="18">
      <c r="A18" t="inlineStr">
        <is>
          <t>A494120</t>
        </is>
      </c>
      <c r="B18" t="inlineStr">
        <is>
          <t>큐리오시스</t>
        </is>
      </c>
      <c r="C18" t="inlineStr"/>
      <c r="D18" t="inlineStr"/>
      <c r="E18" t="n">
        <v>-30.6</v>
      </c>
      <c r="F18" t="n">
        <v>-207.1</v>
      </c>
      <c r="G18" t="n">
        <v>-1338.2</v>
      </c>
      <c r="H18" t="n">
        <v>78.59999999999999</v>
      </c>
      <c r="I18" t="n">
        <v>628</v>
      </c>
      <c r="J18" t="n">
        <v>571.8</v>
      </c>
      <c r="K18" t="n">
        <v>30300</v>
      </c>
      <c r="L18" t="n">
        <v>50453</v>
      </c>
      <c r="M18" t="n">
        <v>15.287259</v>
      </c>
      <c r="N18" t="n">
        <v>119294.6</v>
      </c>
      <c r="O18" t="n">
        <v>0.4229277771164831</v>
      </c>
      <c r="P18" t="n">
        <v>5.579644201798064</v>
      </c>
      <c r="Q18" t="n">
        <v>25.0164468819126</v>
      </c>
      <c r="R18" t="n">
        <v>16.70429113874909</v>
      </c>
      <c r="S18" t="n">
        <v>8.300000000000001</v>
      </c>
      <c r="T18" t="n">
        <v>1.168614357262099</v>
      </c>
      <c r="U18" t="n">
        <v>-39.52095808383233</v>
      </c>
      <c r="V18" t="n">
        <v>36705</v>
      </c>
      <c r="W18" t="n">
        <v>43062.5</v>
      </c>
      <c r="X18" t="n">
        <v>54407.5</v>
      </c>
      <c r="Y18" t="n">
        <v>0</v>
      </c>
      <c r="Z18" t="n">
        <v>0</v>
      </c>
      <c r="AA18" t="n">
        <v>0</v>
      </c>
      <c r="AB18" t="n">
        <v>32264.42557825471</v>
      </c>
      <c r="AC18" t="n">
        <v>26.6</v>
      </c>
      <c r="AD18" t="n">
        <v>51.5</v>
      </c>
      <c r="AE18" t="n">
        <v>45.2</v>
      </c>
      <c r="AF18" t="n">
        <v>42.8</v>
      </c>
      <c r="AG18" t="inlineStr">
        <is>
          <t>D</t>
        </is>
      </c>
    </row>
    <row r="19">
      <c r="A19" t="inlineStr">
        <is>
          <t>A484870</t>
        </is>
      </c>
      <c r="B19" t="inlineStr">
        <is>
          <t>엠앤씨솔루션</t>
        </is>
      </c>
      <c r="C19" t="inlineStr"/>
      <c r="D19" t="inlineStr"/>
      <c r="E19" t="n">
        <v>-133</v>
      </c>
      <c r="F19" t="n">
        <v>-374.5</v>
      </c>
      <c r="G19" t="n">
        <v>-657.1</v>
      </c>
      <c r="H19" t="n">
        <v>78.5</v>
      </c>
      <c r="I19" t="n">
        <v>153.8</v>
      </c>
      <c r="J19" t="n">
        <v>-89</v>
      </c>
      <c r="K19" t="n">
        <v>68500</v>
      </c>
      <c r="L19" t="n">
        <v>21832</v>
      </c>
      <c r="M19" t="n">
        <v>14.95492</v>
      </c>
      <c r="N19" t="n">
        <v>24885.65</v>
      </c>
      <c r="O19" t="n">
        <v>0.8772927369789416</v>
      </c>
      <c r="P19" t="n">
        <v>3.634476706967883</v>
      </c>
      <c r="Q19" t="n">
        <v>22.73325276220012</v>
      </c>
      <c r="R19" t="n">
        <v>12.56010975439015</v>
      </c>
      <c r="S19" t="n">
        <v>10.2</v>
      </c>
      <c r="T19" t="n">
        <v>1.632047477744814</v>
      </c>
      <c r="U19" t="n">
        <v>-40.17467248908297</v>
      </c>
      <c r="V19" t="n">
        <v>77370</v>
      </c>
      <c r="W19" t="n">
        <v>89035</v>
      </c>
      <c r="X19" t="n">
        <v>106091.6666666667</v>
      </c>
      <c r="Y19" t="n">
        <v>0</v>
      </c>
      <c r="Z19" t="n">
        <v>0</v>
      </c>
      <c r="AA19" t="n">
        <v>0</v>
      </c>
      <c r="AB19" t="n">
        <v>57590.39028025043</v>
      </c>
      <c r="AC19" t="n">
        <v>26.1</v>
      </c>
      <c r="AD19" t="n">
        <v>39.5</v>
      </c>
      <c r="AE19" t="n">
        <v>83.7</v>
      </c>
      <c r="AF19" t="n">
        <v>44.3</v>
      </c>
      <c r="AG19" t="inlineStr">
        <is>
          <t>D</t>
        </is>
      </c>
    </row>
    <row r="20">
      <c r="A20" t="inlineStr">
        <is>
          <t>A462350</t>
        </is>
      </c>
      <c r="B20" t="inlineStr">
        <is>
          <t>이노스페이스</t>
        </is>
      </c>
      <c r="C20" t="inlineStr"/>
      <c r="D20" t="inlineStr"/>
      <c r="E20" t="n">
        <v>-24.9</v>
      </c>
      <c r="F20" t="n">
        <v>-460.8</v>
      </c>
      <c r="G20" t="n">
        <v>-202.8</v>
      </c>
      <c r="H20" t="n">
        <v>75.3</v>
      </c>
      <c r="I20" t="n">
        <v>-224.8</v>
      </c>
      <c r="J20" t="n">
        <v>-263.3</v>
      </c>
      <c r="K20" t="n">
        <v>13600</v>
      </c>
      <c r="L20" t="n">
        <v>292387</v>
      </c>
      <c r="M20" t="n">
        <v>39.764632</v>
      </c>
      <c r="N20" t="n">
        <v>475356.95</v>
      </c>
      <c r="O20" t="n">
        <v>0.6150893554832847</v>
      </c>
      <c r="P20" t="n">
        <v>5.13956870230278</v>
      </c>
      <c r="Q20" t="n">
        <v>37.78232290833539</v>
      </c>
      <c r="R20" t="n">
        <v>28.99018000340943</v>
      </c>
      <c r="S20" t="n">
        <v>8.800000000000001</v>
      </c>
      <c r="T20" t="n">
        <v>0.2210759027265974</v>
      </c>
      <c r="U20" t="n">
        <v>-21.06790481717934</v>
      </c>
      <c r="V20" t="n">
        <v>14964</v>
      </c>
      <c r="W20" t="n">
        <v>15491</v>
      </c>
      <c r="X20" t="n">
        <v>15565.85</v>
      </c>
      <c r="Y20" t="n">
        <v>0</v>
      </c>
      <c r="Z20" t="n">
        <v>0</v>
      </c>
      <c r="AA20" t="n">
        <v>0</v>
      </c>
      <c r="AB20" t="n">
        <v>4205.137709742077</v>
      </c>
      <c r="AC20" t="n">
        <v>51.1</v>
      </c>
      <c r="AD20" t="n">
        <v>28.1</v>
      </c>
      <c r="AE20" t="n">
        <v>66.7</v>
      </c>
      <c r="AF20" t="n">
        <v>42.7</v>
      </c>
      <c r="AG20" t="inlineStr">
        <is>
          <t>D</t>
        </is>
      </c>
    </row>
    <row r="21">
      <c r="A21" t="inlineStr">
        <is>
          <t>A380550</t>
        </is>
      </c>
      <c r="B21" t="inlineStr">
        <is>
          <t>뉴로핏</t>
        </is>
      </c>
      <c r="C21" t="inlineStr"/>
      <c r="D21" t="inlineStr"/>
      <c r="E21" t="n">
        <v>-5.5</v>
      </c>
      <c r="F21" t="n">
        <v>-12.3</v>
      </c>
      <c r="G21" t="n">
        <v>-72.8</v>
      </c>
      <c r="H21" t="n">
        <v>75</v>
      </c>
      <c r="I21" t="n">
        <v>191.6</v>
      </c>
      <c r="J21" t="n">
        <v>213.9</v>
      </c>
      <c r="K21" t="n">
        <v>13310</v>
      </c>
      <c r="L21" t="n">
        <v>157333</v>
      </c>
      <c r="M21" t="n">
        <v>20.9410223</v>
      </c>
      <c r="N21" t="n">
        <v>479759.6</v>
      </c>
      <c r="O21" t="n">
        <v>0.3279413272814135</v>
      </c>
      <c r="P21" t="n">
        <v>4.143621770817418</v>
      </c>
      <c r="Q21" t="n">
        <v>27.68195735658069</v>
      </c>
      <c r="R21" t="n">
        <v>20.05547093703864</v>
      </c>
      <c r="S21" t="n">
        <v>7.6</v>
      </c>
      <c r="T21" t="n">
        <v>0.5287009063444037</v>
      </c>
      <c r="U21" t="n">
        <v>-33.21625689914701</v>
      </c>
      <c r="V21" t="n">
        <v>15358</v>
      </c>
      <c r="W21" t="n">
        <v>16747</v>
      </c>
      <c r="X21" t="n">
        <v>19825.83333333333</v>
      </c>
      <c r="Y21" t="n">
        <v>0</v>
      </c>
      <c r="Z21" t="n">
        <v>0</v>
      </c>
      <c r="AA21" t="n">
        <v>0</v>
      </c>
      <c r="AB21" t="n">
        <v>7568.144874545229</v>
      </c>
      <c r="AC21" t="n">
        <v>32.9</v>
      </c>
      <c r="AD21" t="n">
        <v>59.3</v>
      </c>
      <c r="AE21" t="n">
        <v>28.1</v>
      </c>
      <c r="AF21" t="n">
        <v>45.1</v>
      </c>
      <c r="AG21" t="inlineStr">
        <is>
          <t>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</cols>
  <sheetData>
    <row r="1">
      <c r="A1" s="20" t="inlineStr">
        <is>
          <t>코드</t>
        </is>
      </c>
      <c r="B1" s="20" t="inlineStr">
        <is>
          <t>코드명</t>
        </is>
      </c>
      <c r="C1" s="20" t="inlineStr">
        <is>
          <t>상장일</t>
        </is>
      </c>
      <c r="D1" s="20" t="inlineStr">
        <is>
          <t>days_since_ipo</t>
        </is>
      </c>
      <c r="E1" s="20" t="inlineStr">
        <is>
          <t>기관_일간</t>
        </is>
      </c>
      <c r="F1" s="20" t="inlineStr">
        <is>
          <t>기관_5일</t>
        </is>
      </c>
      <c r="G1" s="20" t="inlineStr">
        <is>
          <t>기관_20일</t>
        </is>
      </c>
      <c r="H1" s="20" t="inlineStr">
        <is>
          <t>외국인_일간</t>
        </is>
      </c>
      <c r="I1" s="20" t="inlineStr">
        <is>
          <t>외국인_5일</t>
        </is>
      </c>
      <c r="J1" s="20" t="inlineStr">
        <is>
          <t>외국인_20일</t>
        </is>
      </c>
      <c r="K1" s="20" t="inlineStr">
        <is>
          <t>현재가</t>
        </is>
      </c>
      <c r="L1" s="20" t="inlineStr">
        <is>
          <t>거래량</t>
        </is>
      </c>
      <c r="M1" s="20" t="inlineStr">
        <is>
          <t>거래대금(억)</t>
        </is>
      </c>
      <c r="N1" s="20" t="inlineStr">
        <is>
          <t>20일평균거래량</t>
        </is>
      </c>
      <c r="O1" s="20" t="inlineStr">
        <is>
          <t>RVOL(20)</t>
        </is>
      </c>
      <c r="P1" s="20" t="inlineStr">
        <is>
          <t>변동성(30D)</t>
        </is>
      </c>
      <c r="Q1" s="20" t="inlineStr">
        <is>
          <t>RSI(14)</t>
        </is>
      </c>
      <c r="R1" s="20" t="inlineStr">
        <is>
          <t>전일RSI(14)</t>
        </is>
      </c>
      <c r="S1" s="20" t="inlineStr">
        <is>
          <t>RSI변화량</t>
        </is>
      </c>
      <c r="T1" s="20" t="inlineStr">
        <is>
          <t>1일수익률(%)</t>
        </is>
      </c>
      <c r="U1" s="20" t="inlineStr">
        <is>
          <t>20일수익률(%)</t>
        </is>
      </c>
      <c r="V1" s="20" t="inlineStr">
        <is>
          <t>10일이평</t>
        </is>
      </c>
      <c r="W1" s="20" t="inlineStr">
        <is>
          <t>20일이평</t>
        </is>
      </c>
      <c r="X1" s="20" t="inlineStr">
        <is>
          <t>60일이평</t>
        </is>
      </c>
      <c r="Y1" s="20" t="inlineStr">
        <is>
          <t>10일선돌파</t>
        </is>
      </c>
      <c r="Z1" s="20" t="inlineStr">
        <is>
          <t>20일선돌파</t>
        </is>
      </c>
      <c r="AA1" s="20" t="inlineStr">
        <is>
          <t>60일선돌파</t>
        </is>
      </c>
      <c r="AB1" s="20" t="inlineStr">
        <is>
          <t>BB폭</t>
        </is>
      </c>
      <c r="AC1" s="20" t="inlineStr">
        <is>
          <t>모멘텀스코어</t>
        </is>
      </c>
      <c r="AD1" s="20" t="inlineStr">
        <is>
          <t>수급스코어</t>
        </is>
      </c>
      <c r="AE1" s="20" t="inlineStr">
        <is>
          <t>거래량스코어</t>
        </is>
      </c>
      <c r="AF1" s="20" t="inlineStr">
        <is>
          <t>종합스코어</t>
        </is>
      </c>
      <c r="AG1" s="20" t="inlineStr">
        <is>
          <t>등급</t>
        </is>
      </c>
    </row>
    <row r="2">
      <c r="A2" t="inlineStr">
        <is>
          <t>A466100</t>
        </is>
      </c>
      <c r="B2" t="inlineStr">
        <is>
          <t>클로봇</t>
        </is>
      </c>
      <c r="C2" t="inlineStr"/>
      <c r="D2" t="inlineStr"/>
      <c r="E2" t="n">
        <v>281.5</v>
      </c>
      <c r="F2" t="n">
        <v>376.1</v>
      </c>
      <c r="G2" t="n">
        <v>103</v>
      </c>
      <c r="H2" t="n">
        <v>-241.8</v>
      </c>
      <c r="I2" t="n">
        <v>-1065.8</v>
      </c>
      <c r="J2" t="n">
        <v>-577.5</v>
      </c>
      <c r="K2" t="n">
        <v>46450</v>
      </c>
      <c r="L2" t="n">
        <v>475869</v>
      </c>
      <c r="M2" t="n">
        <v>221.0411505</v>
      </c>
      <c r="N2" t="n">
        <v>470491.05</v>
      </c>
      <c r="O2" t="n">
        <v>1.011430504363473</v>
      </c>
      <c r="P2" t="n">
        <v>4.263025442345443</v>
      </c>
      <c r="Q2" t="n">
        <v>50.16541349195553</v>
      </c>
      <c r="R2" t="n">
        <v>45.30274128674548</v>
      </c>
      <c r="S2" t="n">
        <v>4.9</v>
      </c>
      <c r="T2" t="n">
        <v>-2.004219409282704</v>
      </c>
      <c r="U2" t="n">
        <v>-8.562992125984252</v>
      </c>
      <c r="V2" t="n">
        <v>43255</v>
      </c>
      <c r="W2" t="n">
        <v>45022.5</v>
      </c>
      <c r="X2" t="n">
        <v>48811.66666666666</v>
      </c>
      <c r="Y2" t="n">
        <v>1</v>
      </c>
      <c r="Z2" t="n">
        <v>1</v>
      </c>
      <c r="AA2" t="n">
        <v>0</v>
      </c>
      <c r="AB2" t="n">
        <v>13252.44366741063</v>
      </c>
      <c r="AC2" t="n">
        <v>71.5</v>
      </c>
      <c r="AD2" t="n">
        <v>50.2</v>
      </c>
      <c r="AE2" t="n">
        <v>88.09999999999999</v>
      </c>
      <c r="AF2" t="n">
        <v>64.2</v>
      </c>
      <c r="AG2" t="inlineStr">
        <is>
          <t>C</t>
        </is>
      </c>
    </row>
    <row r="3">
      <c r="A3" t="inlineStr">
        <is>
          <t>A279570</t>
        </is>
      </c>
      <c r="B3" t="inlineStr">
        <is>
          <t>케이뱅크</t>
        </is>
      </c>
      <c r="C3" t="inlineStr"/>
      <c r="D3" t="inlineStr"/>
      <c r="E3" t="n">
        <v>188.6</v>
      </c>
      <c r="F3" t="n">
        <v>1261.1</v>
      </c>
      <c r="G3" t="n">
        <v>2414.4</v>
      </c>
      <c r="H3" t="n">
        <v>56.5</v>
      </c>
      <c r="I3" t="n">
        <v>-172.6</v>
      </c>
      <c r="J3" t="n">
        <v>-1422.9</v>
      </c>
      <c r="K3" t="n">
        <v>5590</v>
      </c>
      <c r="L3" t="n">
        <v>1150517</v>
      </c>
      <c r="M3" t="n">
        <v>64.3139003</v>
      </c>
      <c r="N3" t="n">
        <v>2219805.1</v>
      </c>
      <c r="O3" t="n">
        <v>0.5182964035896664</v>
      </c>
      <c r="P3" t="n">
        <v>2.2128590930212</v>
      </c>
      <c r="Q3" t="n">
        <v>39.37922669772343</v>
      </c>
      <c r="R3" t="n">
        <v>26.72232781634349</v>
      </c>
      <c r="S3" t="n">
        <v>12.7</v>
      </c>
      <c r="T3" t="n">
        <v>0</v>
      </c>
      <c r="U3" t="n">
        <v>-11.12877583465819</v>
      </c>
      <c r="V3" t="n">
        <v>5569</v>
      </c>
      <c r="W3" t="n">
        <v>5626.5</v>
      </c>
      <c r="X3" t="n">
        <v>6164.166666666667</v>
      </c>
      <c r="Y3" t="n">
        <v>1</v>
      </c>
      <c r="Z3" t="n">
        <v>0</v>
      </c>
      <c r="AA3" t="n">
        <v>0</v>
      </c>
      <c r="AB3" t="n">
        <v>853.7003048648367</v>
      </c>
      <c r="AC3" t="n">
        <v>75.59999999999999</v>
      </c>
      <c r="AD3" t="n">
        <v>67.90000000000001</v>
      </c>
      <c r="AE3" t="n">
        <v>54.8</v>
      </c>
      <c r="AF3" t="n">
        <v>67.59999999999999</v>
      </c>
      <c r="AG3" t="inlineStr">
        <is>
          <t>B</t>
        </is>
      </c>
    </row>
    <row r="4">
      <c r="A4" t="inlineStr">
        <is>
          <t>A448900</t>
        </is>
      </c>
      <c r="B4" t="inlineStr">
        <is>
          <t>한국피아이엠</t>
        </is>
      </c>
      <c r="C4" t="inlineStr"/>
      <c r="D4" t="inlineStr"/>
      <c r="E4" t="n">
        <v>170.5</v>
      </c>
      <c r="F4" t="n">
        <v>1412.9</v>
      </c>
      <c r="G4" t="n">
        <v>1401.5</v>
      </c>
      <c r="H4" t="n">
        <v>-72.3</v>
      </c>
      <c r="I4" t="n">
        <v>-93.3</v>
      </c>
      <c r="J4" t="n">
        <v>-15.3</v>
      </c>
      <c r="K4" t="n">
        <v>90600</v>
      </c>
      <c r="L4" t="n">
        <v>80714</v>
      </c>
      <c r="M4" t="n">
        <v>73.126884</v>
      </c>
      <c r="N4" t="n">
        <v>259323.55</v>
      </c>
      <c r="O4" t="n">
        <v>0.3112482456761062</v>
      </c>
      <c r="P4" t="n">
        <v>8.871839733776925</v>
      </c>
      <c r="Q4" t="n">
        <v>42.03709934941103</v>
      </c>
      <c r="R4" t="n">
        <v>26.96053716765249</v>
      </c>
      <c r="S4" t="n">
        <v>15.1</v>
      </c>
      <c r="T4" t="n">
        <v>-5.130890052356019</v>
      </c>
      <c r="U4" t="n">
        <v>-29.16340891321344</v>
      </c>
      <c r="V4" t="n">
        <v>97530</v>
      </c>
      <c r="W4" t="n">
        <v>106125</v>
      </c>
      <c r="X4" t="n">
        <v>107470</v>
      </c>
      <c r="Y4" t="n">
        <v>0</v>
      </c>
      <c r="Z4" t="n">
        <v>0</v>
      </c>
      <c r="AA4" t="n">
        <v>0</v>
      </c>
      <c r="AB4" t="n">
        <v>60280.86892119869</v>
      </c>
      <c r="AC4" t="n">
        <v>31.1</v>
      </c>
      <c r="AD4" t="n">
        <v>58.8</v>
      </c>
      <c r="AE4" t="n">
        <v>25.2</v>
      </c>
      <c r="AF4" t="n">
        <v>43.8</v>
      </c>
      <c r="AG4" t="inlineStr">
        <is>
          <t>D</t>
        </is>
      </c>
    </row>
    <row r="5">
      <c r="A5" t="inlineStr">
        <is>
          <t>A160190</t>
        </is>
      </c>
      <c r="B5" t="inlineStr">
        <is>
          <t>하이젠알앤엠</t>
        </is>
      </c>
      <c r="C5" t="inlineStr"/>
      <c r="D5" t="inlineStr"/>
      <c r="E5" t="n">
        <v>116.4</v>
      </c>
      <c r="F5" t="n">
        <v>-41.7</v>
      </c>
      <c r="G5" t="n">
        <v>531.5</v>
      </c>
      <c r="H5" t="n">
        <v>-6.4</v>
      </c>
      <c r="I5" t="n">
        <v>510.4</v>
      </c>
      <c r="J5" t="n">
        <v>1500</v>
      </c>
      <c r="K5" t="n">
        <v>30450</v>
      </c>
      <c r="L5" t="n">
        <v>132131</v>
      </c>
      <c r="M5" t="n">
        <v>40.2338895</v>
      </c>
      <c r="N5" t="n">
        <v>272157.9</v>
      </c>
      <c r="O5" t="n">
        <v>0.4854938989461632</v>
      </c>
      <c r="P5" t="n">
        <v>4.583912803841004</v>
      </c>
      <c r="Q5" t="n">
        <v>33.02631776002978</v>
      </c>
      <c r="R5" t="n">
        <v>19.17673415288736</v>
      </c>
      <c r="S5" t="n">
        <v>13.8</v>
      </c>
      <c r="T5" t="n">
        <v>0.164473684210531</v>
      </c>
      <c r="U5" t="n">
        <v>-32.92951541850221</v>
      </c>
      <c r="V5" t="n">
        <v>33285</v>
      </c>
      <c r="W5" t="n">
        <v>36810</v>
      </c>
      <c r="X5" t="n">
        <v>41080.83333333334</v>
      </c>
      <c r="Y5" t="n">
        <v>0</v>
      </c>
      <c r="Z5" t="n">
        <v>0</v>
      </c>
      <c r="AA5" t="n">
        <v>0</v>
      </c>
      <c r="AB5" t="n">
        <v>18045.97637031307</v>
      </c>
      <c r="AC5" t="n">
        <v>36.1</v>
      </c>
      <c r="AD5" t="n">
        <v>68.59999999999999</v>
      </c>
      <c r="AE5" t="n">
        <v>51.9</v>
      </c>
      <c r="AF5" t="n">
        <v>55.5</v>
      </c>
      <c r="AG5" t="inlineStr">
        <is>
          <t>C</t>
        </is>
      </c>
    </row>
    <row r="6">
      <c r="A6" t="inlineStr">
        <is>
          <t>A462870</t>
        </is>
      </c>
      <c r="B6" t="inlineStr">
        <is>
          <t>시프트업</t>
        </is>
      </c>
      <c r="C6" t="inlineStr"/>
      <c r="D6" t="inlineStr"/>
      <c r="E6" t="n">
        <v>80.7</v>
      </c>
      <c r="F6" t="n">
        <v>97.2</v>
      </c>
      <c r="G6" t="n">
        <v>-130.2</v>
      </c>
      <c r="H6" t="n">
        <v>-26.3</v>
      </c>
      <c r="I6" t="n">
        <v>-75.2</v>
      </c>
      <c r="J6" t="n">
        <v>-345.7</v>
      </c>
      <c r="K6" t="n">
        <v>30450</v>
      </c>
      <c r="L6" t="n">
        <v>77728</v>
      </c>
      <c r="M6" t="n">
        <v>23.668176</v>
      </c>
      <c r="N6" t="n">
        <v>86224.2</v>
      </c>
      <c r="O6" t="n">
        <v>0.9014638581743872</v>
      </c>
      <c r="P6" t="n">
        <v>2.315037749266466</v>
      </c>
      <c r="Q6" t="n">
        <v>48.93134003062531</v>
      </c>
      <c r="R6" t="n">
        <v>40.61254479566261</v>
      </c>
      <c r="S6" t="n">
        <v>8.300000000000001</v>
      </c>
      <c r="T6" t="n">
        <v>0</v>
      </c>
      <c r="U6" t="n">
        <v>-8.695652173913043</v>
      </c>
      <c r="V6" t="n">
        <v>29140</v>
      </c>
      <c r="W6" t="n">
        <v>29942.5</v>
      </c>
      <c r="X6" t="n">
        <v>31572.5</v>
      </c>
      <c r="Y6" t="n">
        <v>1</v>
      </c>
      <c r="Z6" t="n">
        <v>1</v>
      </c>
      <c r="AA6" t="n">
        <v>0</v>
      </c>
      <c r="AB6" t="n">
        <v>5017.558643089498</v>
      </c>
      <c r="AC6" t="n">
        <v>79.40000000000001</v>
      </c>
      <c r="AD6" t="n">
        <v>45.8</v>
      </c>
      <c r="AE6" t="n">
        <v>84.40000000000001</v>
      </c>
      <c r="AF6" t="n">
        <v>63.6</v>
      </c>
      <c r="AG6" t="inlineStr">
        <is>
          <t>C</t>
        </is>
      </c>
    </row>
    <row r="7">
      <c r="A7" t="inlineStr">
        <is>
          <t>A295310</t>
        </is>
      </c>
      <c r="B7" t="inlineStr">
        <is>
          <t>에이치브이엠</t>
        </is>
      </c>
      <c r="C7" t="inlineStr"/>
      <c r="D7" t="inlineStr"/>
      <c r="E7" t="n">
        <v>64.3</v>
      </c>
      <c r="F7" t="n">
        <v>-1304.6</v>
      </c>
      <c r="G7" t="n">
        <v>-666.2</v>
      </c>
      <c r="H7" t="n">
        <v>71.5</v>
      </c>
      <c r="I7" t="n">
        <v>702.5</v>
      </c>
      <c r="J7" t="n">
        <v>4302.7</v>
      </c>
      <c r="K7" t="n">
        <v>102600</v>
      </c>
      <c r="L7" t="n">
        <v>267849</v>
      </c>
      <c r="M7" t="n">
        <v>274.813074</v>
      </c>
      <c r="N7" t="n">
        <v>428890.9</v>
      </c>
      <c r="O7" t="n">
        <v>0.6245154653549422</v>
      </c>
      <c r="P7" t="n">
        <v>9.506870280302643</v>
      </c>
      <c r="Q7" t="n">
        <v>50.0324723091279</v>
      </c>
      <c r="R7" t="n">
        <v>44.9148186780135</v>
      </c>
      <c r="S7" t="n">
        <v>5.1</v>
      </c>
      <c r="T7" t="n">
        <v>1.988071570576544</v>
      </c>
      <c r="U7" t="n">
        <v>14.50892857142857</v>
      </c>
      <c r="V7" t="n">
        <v>109740</v>
      </c>
      <c r="W7" t="n">
        <v>104570</v>
      </c>
      <c r="X7" t="n">
        <v>96038.33333333333</v>
      </c>
      <c r="Y7" t="n">
        <v>0</v>
      </c>
      <c r="Z7" t="n">
        <v>0</v>
      </c>
      <c r="AA7" t="n">
        <v>1</v>
      </c>
      <c r="AB7" t="n">
        <v>51960.48701202014</v>
      </c>
      <c r="AC7" t="n">
        <v>70.5</v>
      </c>
      <c r="AD7" t="n">
        <v>67</v>
      </c>
      <c r="AE7" t="n">
        <v>68.09999999999999</v>
      </c>
      <c r="AF7" t="n">
        <v>68.3</v>
      </c>
      <c r="AG7" t="inlineStr">
        <is>
          <t>B</t>
        </is>
      </c>
    </row>
    <row r="8">
      <c r="A8" t="inlineStr">
        <is>
          <t>A394800</t>
        </is>
      </c>
      <c r="B8" t="inlineStr">
        <is>
          <t>쓰리빌리언</t>
        </is>
      </c>
      <c r="C8" t="inlineStr"/>
      <c r="D8" t="inlineStr"/>
      <c r="E8" t="n">
        <v>40.8</v>
      </c>
      <c r="F8" t="n">
        <v>-1.9</v>
      </c>
      <c r="G8" t="n">
        <v>-15.9</v>
      </c>
      <c r="H8" t="n">
        <v>-34.4</v>
      </c>
      <c r="I8" t="n">
        <v>64.2</v>
      </c>
      <c r="J8" t="n">
        <v>-215.5</v>
      </c>
      <c r="K8" t="n">
        <v>8420</v>
      </c>
      <c r="L8" t="n">
        <v>137921</v>
      </c>
      <c r="M8" t="n">
        <v>11.6129482</v>
      </c>
      <c r="N8" t="n">
        <v>224414.55</v>
      </c>
      <c r="O8" t="n">
        <v>0.6145813629285624</v>
      </c>
      <c r="P8" t="n">
        <v>4.315316116933221</v>
      </c>
      <c r="Q8" t="n">
        <v>28.03754777713498</v>
      </c>
      <c r="R8" t="n">
        <v>9.848744252483746</v>
      </c>
      <c r="S8" t="n">
        <v>18.2</v>
      </c>
      <c r="T8" t="n">
        <v>0.2380952380952372</v>
      </c>
      <c r="U8" t="n">
        <v>-35.87204874333587</v>
      </c>
      <c r="V8" t="n">
        <v>9189</v>
      </c>
      <c r="W8" t="n">
        <v>10088</v>
      </c>
      <c r="X8" t="n">
        <v>12024.5</v>
      </c>
      <c r="Y8" t="n">
        <v>0</v>
      </c>
      <c r="Z8" t="n">
        <v>0</v>
      </c>
      <c r="AA8" t="n">
        <v>0</v>
      </c>
      <c r="AB8" t="n">
        <v>4698.014810310255</v>
      </c>
      <c r="AC8" t="n">
        <v>29.2</v>
      </c>
      <c r="AD8" t="n">
        <v>50.5</v>
      </c>
      <c r="AE8" t="n">
        <v>65.90000000000001</v>
      </c>
      <c r="AF8" t="n">
        <v>47.2</v>
      </c>
      <c r="AG8" t="inlineStr">
        <is>
          <t>D</t>
        </is>
      </c>
    </row>
    <row r="9">
      <c r="A9" t="inlineStr">
        <is>
          <t>A376270</t>
        </is>
      </c>
      <c r="B9" t="inlineStr">
        <is>
          <t>HEM파마</t>
        </is>
      </c>
      <c r="C9" t="inlineStr"/>
      <c r="D9" t="inlineStr"/>
      <c r="E9" t="n">
        <v>40.4</v>
      </c>
      <c r="F9" t="n">
        <v>-170.5</v>
      </c>
      <c r="G9" t="n">
        <v>-283.8</v>
      </c>
      <c r="H9" t="n">
        <v>-12.6</v>
      </c>
      <c r="I9" t="n">
        <v>-18.4</v>
      </c>
      <c r="J9" t="n">
        <v>50.9</v>
      </c>
      <c r="K9" t="n">
        <v>49250</v>
      </c>
      <c r="L9" t="n">
        <v>22812</v>
      </c>
      <c r="M9" t="n">
        <v>11.23491</v>
      </c>
      <c r="N9" t="n">
        <v>36553.8</v>
      </c>
      <c r="O9" t="n">
        <v>0.624066444528339</v>
      </c>
      <c r="P9" t="n">
        <v>5.083242236310481</v>
      </c>
      <c r="Q9" t="n">
        <v>35.28452990585627</v>
      </c>
      <c r="R9" t="n">
        <v>23.16299344348508</v>
      </c>
      <c r="S9" t="n">
        <v>12.1</v>
      </c>
      <c r="T9" t="n">
        <v>5.010660980810244</v>
      </c>
      <c r="U9" t="n">
        <v>-19.91869918699187</v>
      </c>
      <c r="V9" t="n">
        <v>52760</v>
      </c>
      <c r="W9" t="n">
        <v>58830</v>
      </c>
      <c r="X9" t="n">
        <v>63928.33333333334</v>
      </c>
      <c r="Y9" t="n">
        <v>0</v>
      </c>
      <c r="Z9" t="n">
        <v>0</v>
      </c>
      <c r="AA9" t="n">
        <v>0</v>
      </c>
      <c r="AB9" t="n">
        <v>32413.9930796627</v>
      </c>
      <c r="AC9" t="n">
        <v>61.3</v>
      </c>
      <c r="AD9" t="n">
        <v>42.5</v>
      </c>
      <c r="AE9" t="n">
        <v>67.40000000000001</v>
      </c>
      <c r="AF9" t="n">
        <v>53.1</v>
      </c>
      <c r="AG9" t="inlineStr">
        <is>
          <t>C</t>
        </is>
      </c>
    </row>
    <row r="10">
      <c r="A10" t="inlineStr">
        <is>
          <t>A456160</t>
        </is>
      </c>
      <c r="B10" t="inlineStr">
        <is>
          <t>지투지바이오</t>
        </is>
      </c>
      <c r="C10" t="inlineStr"/>
      <c r="D10" t="inlineStr"/>
      <c r="E10" t="n">
        <v>39.8</v>
      </c>
      <c r="F10" t="n">
        <v>-651.8</v>
      </c>
      <c r="G10" t="n">
        <v>-558.2</v>
      </c>
      <c r="H10" t="n">
        <v>178.8</v>
      </c>
      <c r="I10" t="n">
        <v>-196</v>
      </c>
      <c r="J10" t="n">
        <v>690.5</v>
      </c>
      <c r="K10" t="n">
        <v>53500</v>
      </c>
      <c r="L10" t="n">
        <v>184821</v>
      </c>
      <c r="M10" t="n">
        <v>98.87923499999999</v>
      </c>
      <c r="N10" t="n">
        <v>287970.95</v>
      </c>
      <c r="O10" t="n">
        <v>0.6418043208872284</v>
      </c>
      <c r="P10" t="n">
        <v>4.826872010598523</v>
      </c>
      <c r="Q10" t="n">
        <v>29.52438262368824</v>
      </c>
      <c r="R10" t="n">
        <v>12.06475727174111</v>
      </c>
      <c r="S10" t="n">
        <v>17.5</v>
      </c>
      <c r="T10" t="n">
        <v>-0.3724394785847296</v>
      </c>
      <c r="U10" t="n">
        <v>-37.20657276995305</v>
      </c>
      <c r="V10" t="n">
        <v>59040</v>
      </c>
      <c r="W10" t="n">
        <v>65005</v>
      </c>
      <c r="X10" t="n">
        <v>75601.66666666667</v>
      </c>
      <c r="Y10" t="n">
        <v>0</v>
      </c>
      <c r="Z10" t="n">
        <v>0</v>
      </c>
      <c r="AA10" t="n">
        <v>0</v>
      </c>
      <c r="AB10" t="n">
        <v>31889.40757978227</v>
      </c>
      <c r="AC10" t="n">
        <v>24.5</v>
      </c>
      <c r="AD10" t="n">
        <v>53.7</v>
      </c>
      <c r="AE10" t="n">
        <v>71.09999999999999</v>
      </c>
      <c r="AF10" t="n">
        <v>48.4</v>
      </c>
      <c r="AG10" t="inlineStr">
        <is>
          <t>D</t>
        </is>
      </c>
    </row>
    <row r="11">
      <c r="A11" t="inlineStr">
        <is>
          <t>A475830</t>
        </is>
      </c>
      <c r="B11" t="inlineStr">
        <is>
          <t>오름테라퓨틱</t>
        </is>
      </c>
      <c r="C11" t="inlineStr"/>
      <c r="D11" t="inlineStr"/>
      <c r="E11" t="n">
        <v>36.5</v>
      </c>
      <c r="F11" t="n">
        <v>-76.3</v>
      </c>
      <c r="G11" t="n">
        <v>-949.2</v>
      </c>
      <c r="H11" t="n">
        <v>222.4</v>
      </c>
      <c r="I11" t="n">
        <v>1149.7</v>
      </c>
      <c r="J11" t="n">
        <v>3960.9</v>
      </c>
      <c r="K11" t="n">
        <v>64100</v>
      </c>
      <c r="L11" t="n">
        <v>115638</v>
      </c>
      <c r="M11" t="n">
        <v>74.123958</v>
      </c>
      <c r="N11" t="n">
        <v>206970.5</v>
      </c>
      <c r="O11" t="n">
        <v>0.5587173051231938</v>
      </c>
      <c r="P11" t="n">
        <v>4.640935627479804</v>
      </c>
      <c r="Q11" t="n">
        <v>33.40098878100214</v>
      </c>
      <c r="R11" t="n">
        <v>18.73063733017192</v>
      </c>
      <c r="S11" t="n">
        <v>14.7</v>
      </c>
      <c r="T11" t="n">
        <v>0.6279434850863463</v>
      </c>
      <c r="U11" t="n">
        <v>-31.73588924387646</v>
      </c>
      <c r="V11" t="n">
        <v>68050</v>
      </c>
      <c r="W11" t="n">
        <v>73210</v>
      </c>
      <c r="X11" t="n">
        <v>89981.66666666667</v>
      </c>
      <c r="Y11" t="n">
        <v>0</v>
      </c>
      <c r="Z11" t="n">
        <v>0</v>
      </c>
      <c r="AA11" t="n">
        <v>0</v>
      </c>
      <c r="AB11" t="n">
        <v>32296.23409690525</v>
      </c>
      <c r="AC11" t="n">
        <v>40.1</v>
      </c>
      <c r="AD11" t="n">
        <v>72.40000000000001</v>
      </c>
      <c r="AE11" t="n">
        <v>59.3</v>
      </c>
      <c r="AF11" t="n">
        <v>60.1</v>
      </c>
      <c r="AG11" t="inlineStr">
        <is>
          <t>C</t>
        </is>
      </c>
    </row>
    <row r="12">
      <c r="A12" t="inlineStr">
        <is>
          <t>A473980</t>
        </is>
      </c>
      <c r="B12" t="inlineStr">
        <is>
          <t>노머스</t>
        </is>
      </c>
      <c r="C12" t="inlineStr"/>
      <c r="D12" t="inlineStr"/>
      <c r="E12" t="n">
        <v>34.8</v>
      </c>
      <c r="F12" t="n">
        <v>112.6</v>
      </c>
      <c r="G12" t="n">
        <v>410.8</v>
      </c>
      <c r="H12" t="n">
        <v>23.2</v>
      </c>
      <c r="I12" t="n">
        <v>38.6</v>
      </c>
      <c r="J12" t="n">
        <v>-9.800000000000001</v>
      </c>
      <c r="K12" t="n">
        <v>14000</v>
      </c>
      <c r="L12" t="n">
        <v>45278</v>
      </c>
      <c r="M12" t="n">
        <v>6.33892</v>
      </c>
      <c r="N12" t="n">
        <v>66871.89999999999</v>
      </c>
      <c r="O12" t="n">
        <v>0.6770855920050126</v>
      </c>
      <c r="P12" t="n">
        <v>3.456897901148991</v>
      </c>
      <c r="Q12" t="n">
        <v>35.38595035001909</v>
      </c>
      <c r="R12" t="n">
        <v>29.59491880423996</v>
      </c>
      <c r="S12" t="n">
        <v>5.8</v>
      </c>
      <c r="T12" t="n">
        <v>-0.4267425320056861</v>
      </c>
      <c r="U12" t="n">
        <v>-20.22792022792023</v>
      </c>
      <c r="V12" t="n">
        <v>14384</v>
      </c>
      <c r="W12" t="n">
        <v>15572.5</v>
      </c>
      <c r="X12" t="n">
        <v>17158</v>
      </c>
      <c r="Y12" t="n">
        <v>0</v>
      </c>
      <c r="Z12" t="n">
        <v>0</v>
      </c>
      <c r="AA12" t="n">
        <v>0</v>
      </c>
      <c r="AB12" t="n">
        <v>5398.524164796778</v>
      </c>
      <c r="AC12" t="n">
        <v>46.6</v>
      </c>
      <c r="AD12" t="n">
        <v>79.90000000000001</v>
      </c>
      <c r="AE12" t="n">
        <v>71.90000000000001</v>
      </c>
      <c r="AF12" t="n">
        <v>68.3</v>
      </c>
      <c r="AG12" t="inlineStr">
        <is>
          <t>B</t>
        </is>
      </c>
    </row>
    <row r="13">
      <c r="A13" t="inlineStr">
        <is>
          <t>A458650</t>
        </is>
      </c>
      <c r="B13" t="inlineStr">
        <is>
          <t>성우</t>
        </is>
      </c>
      <c r="C13" t="inlineStr"/>
      <c r="D13" t="inlineStr"/>
      <c r="E13" t="n">
        <v>22</v>
      </c>
      <c r="F13" t="n">
        <v>102.1</v>
      </c>
      <c r="G13" t="n">
        <v>136.5</v>
      </c>
      <c r="H13" t="n">
        <v>-3.4</v>
      </c>
      <c r="I13" t="n">
        <v>-106.3</v>
      </c>
      <c r="J13" t="n">
        <v>21.7</v>
      </c>
      <c r="K13" t="n">
        <v>11190</v>
      </c>
      <c r="L13" t="n">
        <v>37331</v>
      </c>
      <c r="M13" t="n">
        <v>4.1773389</v>
      </c>
      <c r="N13" t="n">
        <v>147052.4</v>
      </c>
      <c r="O13" t="n">
        <v>0.2538618886872979</v>
      </c>
      <c r="P13" t="n">
        <v>3.110824892090847</v>
      </c>
      <c r="Q13" t="n">
        <v>31.15866590502374</v>
      </c>
      <c r="R13" t="n">
        <v>33.62175471840448</v>
      </c>
      <c r="S13" t="n">
        <v>-2.5</v>
      </c>
      <c r="T13" t="n">
        <v>0.7200720072007227</v>
      </c>
      <c r="U13" t="n">
        <v>-20.75070821529745</v>
      </c>
      <c r="V13" t="n">
        <v>12732</v>
      </c>
      <c r="W13" t="n">
        <v>13096.5</v>
      </c>
      <c r="X13" t="n">
        <v>12960</v>
      </c>
      <c r="Y13" t="n">
        <v>0</v>
      </c>
      <c r="Z13" t="n">
        <v>0</v>
      </c>
      <c r="AA13" t="n">
        <v>0</v>
      </c>
      <c r="AB13" t="n">
        <v>3815.82908146413</v>
      </c>
      <c r="AC13" t="n">
        <v>47.9</v>
      </c>
      <c r="AD13" t="n">
        <v>61.7</v>
      </c>
      <c r="AE13" t="n">
        <v>17</v>
      </c>
      <c r="AF13" t="n">
        <v>48.6</v>
      </c>
      <c r="AG13" t="inlineStr">
        <is>
          <t>D</t>
        </is>
      </c>
    </row>
    <row r="14">
      <c r="A14" t="inlineStr">
        <is>
          <t>A475230</t>
        </is>
      </c>
      <c r="B14" t="inlineStr">
        <is>
          <t>엔알비</t>
        </is>
      </c>
      <c r="C14" t="inlineStr"/>
      <c r="D14" t="inlineStr"/>
      <c r="E14" t="n">
        <v>17.7</v>
      </c>
      <c r="F14" t="n">
        <v>55.6</v>
      </c>
      <c r="G14" t="n">
        <v>40.4</v>
      </c>
      <c r="H14" t="n">
        <v>23.1</v>
      </c>
      <c r="I14" t="n">
        <v>53.9</v>
      </c>
      <c r="J14" t="n">
        <v>426.1</v>
      </c>
      <c r="K14" t="n">
        <v>11870</v>
      </c>
      <c r="L14" t="n">
        <v>41182</v>
      </c>
      <c r="M14" t="n">
        <v>4.8883034</v>
      </c>
      <c r="N14" t="n">
        <v>139724.45</v>
      </c>
      <c r="O14" t="n">
        <v>0.2947372489210013</v>
      </c>
      <c r="P14" t="n">
        <v>4.118612767742418</v>
      </c>
      <c r="Q14" t="n">
        <v>22.27622988177755</v>
      </c>
      <c r="R14" t="n">
        <v>17.64019355848596</v>
      </c>
      <c r="S14" t="n">
        <v>4.6</v>
      </c>
      <c r="T14" t="n">
        <v>-3.574329813160038</v>
      </c>
      <c r="U14" t="n">
        <v>-37.02917771883289</v>
      </c>
      <c r="V14" t="n">
        <v>13866</v>
      </c>
      <c r="W14" t="n">
        <v>15369.5</v>
      </c>
      <c r="X14" t="n">
        <v>19521.16666666667</v>
      </c>
      <c r="Y14" t="n">
        <v>0</v>
      </c>
      <c r="Z14" t="n">
        <v>0</v>
      </c>
      <c r="AA14" t="n">
        <v>0</v>
      </c>
      <c r="AB14" t="n">
        <v>7936.033478282523</v>
      </c>
      <c r="AC14" t="n">
        <v>8.699999999999999</v>
      </c>
      <c r="AD14" t="n">
        <v>82.40000000000001</v>
      </c>
      <c r="AE14" t="n">
        <v>20.7</v>
      </c>
      <c r="AF14" t="n">
        <v>48</v>
      </c>
      <c r="AG14" t="inlineStr">
        <is>
          <t>D</t>
        </is>
      </c>
    </row>
    <row r="15">
      <c r="A15" t="inlineStr">
        <is>
          <t>A459510</t>
        </is>
      </c>
      <c r="B15" t="inlineStr">
        <is>
          <t>나우로보틱스</t>
        </is>
      </c>
      <c r="C15" t="inlineStr"/>
      <c r="D15" t="inlineStr"/>
      <c r="E15" t="n">
        <v>17.5</v>
      </c>
      <c r="F15" t="n">
        <v>-37.9</v>
      </c>
      <c r="G15" t="n">
        <v>-87.40000000000001</v>
      </c>
      <c r="H15" t="n">
        <v>-9.5</v>
      </c>
      <c r="I15" t="n">
        <v>-44.9</v>
      </c>
      <c r="J15" t="n">
        <v>-163.1</v>
      </c>
      <c r="K15" t="n">
        <v>21050</v>
      </c>
      <c r="L15" t="n">
        <v>64047</v>
      </c>
      <c r="M15" t="n">
        <v>13.4818935</v>
      </c>
      <c r="N15" t="n">
        <v>401926.95</v>
      </c>
      <c r="O15" t="n">
        <v>0.1593498520066893</v>
      </c>
      <c r="P15" t="n">
        <v>7.193395376324766</v>
      </c>
      <c r="Q15" t="n">
        <v>36.35848890775005</v>
      </c>
      <c r="R15" t="n">
        <v>17.23404297469407</v>
      </c>
      <c r="S15" t="n">
        <v>19.1</v>
      </c>
      <c r="T15" t="n">
        <v>-4.318181818181821</v>
      </c>
      <c r="U15" t="n">
        <v>-30.52805280528052</v>
      </c>
      <c r="V15" t="n">
        <v>23650</v>
      </c>
      <c r="W15" t="n">
        <v>26172.5</v>
      </c>
      <c r="X15" t="n">
        <v>23467.16666666667</v>
      </c>
      <c r="Y15" t="n">
        <v>0</v>
      </c>
      <c r="Z15" t="n">
        <v>0</v>
      </c>
      <c r="AA15" t="n">
        <v>0</v>
      </c>
      <c r="AB15" t="n">
        <v>12506.41519591572</v>
      </c>
      <c r="AC15" t="n">
        <v>27.4</v>
      </c>
      <c r="AD15" t="n">
        <v>37.3</v>
      </c>
      <c r="AE15" t="n">
        <v>7.4</v>
      </c>
      <c r="AF15" t="n">
        <v>28.4</v>
      </c>
      <c r="AG15" t="inlineStr">
        <is>
          <t>F</t>
        </is>
      </c>
    </row>
    <row r="16">
      <c r="A16" t="inlineStr">
        <is>
          <t>A439260</t>
        </is>
      </c>
      <c r="B16" t="inlineStr">
        <is>
          <t>대한조선</t>
        </is>
      </c>
      <c r="C16" t="inlineStr"/>
      <c r="D16" t="inlineStr"/>
      <c r="E16" t="n">
        <v>16.5</v>
      </c>
      <c r="F16" t="n">
        <v>-310.3</v>
      </c>
      <c r="G16" t="n">
        <v>-1463.7</v>
      </c>
      <c r="H16" t="n">
        <v>-14.9</v>
      </c>
      <c r="I16" t="n">
        <v>48.3</v>
      </c>
      <c r="J16" t="n">
        <v>-976.1</v>
      </c>
      <c r="K16" t="n">
        <v>62000</v>
      </c>
      <c r="L16" t="n">
        <v>70412</v>
      </c>
      <c r="M16" t="n">
        <v>43.65544</v>
      </c>
      <c r="N16" t="n">
        <v>123542.2</v>
      </c>
      <c r="O16" t="n">
        <v>0.5699429021014681</v>
      </c>
      <c r="P16" t="n">
        <v>2.574563704214882</v>
      </c>
      <c r="Q16" t="n">
        <v>25.93048118843488</v>
      </c>
      <c r="R16" t="n">
        <v>10.00953005905568</v>
      </c>
      <c r="S16" t="n">
        <v>15.9</v>
      </c>
      <c r="T16" t="n">
        <v>0.9771986970684043</v>
      </c>
      <c r="U16" t="n">
        <v>-30.72625698324022</v>
      </c>
      <c r="V16" t="n">
        <v>65400</v>
      </c>
      <c r="W16" t="n">
        <v>70845</v>
      </c>
      <c r="X16" t="n">
        <v>84750</v>
      </c>
      <c r="Y16" t="n">
        <v>0</v>
      </c>
      <c r="Z16" t="n">
        <v>0</v>
      </c>
      <c r="AA16" t="n">
        <v>0</v>
      </c>
      <c r="AB16" t="n">
        <v>31012.52039181325</v>
      </c>
      <c r="AC16" t="n">
        <v>36.6</v>
      </c>
      <c r="AD16" t="n">
        <v>36.5</v>
      </c>
      <c r="AE16" t="n">
        <v>61.5</v>
      </c>
      <c r="AF16" t="n">
        <v>41.5</v>
      </c>
      <c r="AG16" t="inlineStr">
        <is>
          <t>D</t>
        </is>
      </c>
    </row>
    <row r="17">
      <c r="A17" t="inlineStr">
        <is>
          <t>A464080</t>
        </is>
      </c>
      <c r="B17" t="inlineStr">
        <is>
          <t>에스오에스랩</t>
        </is>
      </c>
      <c r="C17" t="inlineStr"/>
      <c r="D17" t="inlineStr"/>
      <c r="E17" t="n">
        <v>16.3</v>
      </c>
      <c r="F17" t="n">
        <v>-29.4</v>
      </c>
      <c r="G17" t="n">
        <v>-82.40000000000001</v>
      </c>
      <c r="H17" t="n">
        <v>18</v>
      </c>
      <c r="I17" t="n">
        <v>-48.1</v>
      </c>
      <c r="J17" t="n">
        <v>-247.6</v>
      </c>
      <c r="K17" t="n">
        <v>11870</v>
      </c>
      <c r="L17" t="n">
        <v>168356</v>
      </c>
      <c r="M17" t="n">
        <v>19.9838572</v>
      </c>
      <c r="N17" t="n">
        <v>691272</v>
      </c>
      <c r="O17" t="n">
        <v>0.2435452325567939</v>
      </c>
      <c r="P17" t="n">
        <v>5.210049863687458</v>
      </c>
      <c r="Q17" t="n">
        <v>35.47794323892893</v>
      </c>
      <c r="R17" t="n">
        <v>24.1014394709034</v>
      </c>
      <c r="S17" t="n">
        <v>11.4</v>
      </c>
      <c r="T17" t="n">
        <v>-0.5029337803855838</v>
      </c>
      <c r="U17" t="n">
        <v>-29.55489614243324</v>
      </c>
      <c r="V17" t="n">
        <v>12813</v>
      </c>
      <c r="W17" t="n">
        <v>14247</v>
      </c>
      <c r="X17" t="n">
        <v>15301.33333333333</v>
      </c>
      <c r="Y17" t="n">
        <v>0</v>
      </c>
      <c r="Z17" t="n">
        <v>0</v>
      </c>
      <c r="AA17" t="n">
        <v>0</v>
      </c>
      <c r="AB17" t="n">
        <v>7753.117946654556</v>
      </c>
      <c r="AC17" t="n">
        <v>37.8</v>
      </c>
      <c r="AD17" t="n">
        <v>46.7</v>
      </c>
      <c r="AE17" t="n">
        <v>15.6</v>
      </c>
      <c r="AF17" t="n">
        <v>37.8</v>
      </c>
      <c r="AG17" t="inlineStr">
        <is>
          <t>D</t>
        </is>
      </c>
    </row>
    <row r="18">
      <c r="A18" t="inlineStr">
        <is>
          <t>A415640</t>
        </is>
      </c>
      <c r="B18" t="inlineStr">
        <is>
          <t>KB발해인프라</t>
        </is>
      </c>
      <c r="C18" t="inlineStr"/>
      <c r="D18" t="inlineStr"/>
      <c r="E18" t="n">
        <v>14.1</v>
      </c>
      <c r="F18" t="n">
        <v>-24.3</v>
      </c>
      <c r="G18" t="n">
        <v>38.3</v>
      </c>
      <c r="H18" t="n">
        <v>6.5</v>
      </c>
      <c r="I18" t="n">
        <v>-12.5</v>
      </c>
      <c r="J18" t="n">
        <v>-127</v>
      </c>
      <c r="K18" t="n">
        <v>9620</v>
      </c>
      <c r="L18" t="n">
        <v>126149</v>
      </c>
      <c r="M18" t="n">
        <v>12.1355338</v>
      </c>
      <c r="N18" t="n">
        <v>113356.4</v>
      </c>
      <c r="O18" t="n">
        <v>1.112852913465848</v>
      </c>
      <c r="P18" t="n">
        <v>1.124176066124202</v>
      </c>
      <c r="Q18" t="n">
        <v>37.79579579206913</v>
      </c>
      <c r="R18" t="n">
        <v>31.48088343888248</v>
      </c>
      <c r="S18" t="n">
        <v>6.3</v>
      </c>
      <c r="T18" t="n">
        <v>-1.736465781409602</v>
      </c>
      <c r="U18" t="n">
        <v>-3.703703703703703</v>
      </c>
      <c r="V18" t="n">
        <v>9908</v>
      </c>
      <c r="W18" t="n">
        <v>9914</v>
      </c>
      <c r="X18" t="n">
        <v>9946.5</v>
      </c>
      <c r="Y18" t="n">
        <v>0</v>
      </c>
      <c r="Z18" t="n">
        <v>0</v>
      </c>
      <c r="AA18" t="n">
        <v>0</v>
      </c>
      <c r="AB18" t="n">
        <v>519.3356079494406</v>
      </c>
      <c r="AC18" t="n">
        <v>49.5</v>
      </c>
      <c r="AD18" t="n">
        <v>53.6</v>
      </c>
      <c r="AE18" t="n">
        <v>92.59999999999999</v>
      </c>
      <c r="AF18" t="n">
        <v>60.2</v>
      </c>
      <c r="AG18" t="inlineStr">
        <is>
          <t>C</t>
        </is>
      </c>
    </row>
    <row r="19">
      <c r="A19" t="inlineStr">
        <is>
          <t>A456010</t>
        </is>
      </c>
      <c r="B19" t="inlineStr">
        <is>
          <t>아이씨티케이</t>
        </is>
      </c>
      <c r="C19" t="inlineStr"/>
      <c r="D19" t="inlineStr"/>
      <c r="E19" t="n">
        <v>12.1</v>
      </c>
      <c r="F19" t="n">
        <v>12.2</v>
      </c>
      <c r="G19" t="n">
        <v>-139.3</v>
      </c>
      <c r="H19" t="n">
        <v>319.6</v>
      </c>
      <c r="I19" t="n">
        <v>1076.5</v>
      </c>
      <c r="J19" t="n">
        <v>1675.5</v>
      </c>
      <c r="K19" t="n">
        <v>28150</v>
      </c>
      <c r="L19" t="n">
        <v>616584</v>
      </c>
      <c r="M19" t="n">
        <v>173.568396</v>
      </c>
      <c r="N19" t="n">
        <v>2167570.05</v>
      </c>
      <c r="O19" t="n">
        <v>0.284458626838842</v>
      </c>
      <c r="P19" t="n">
        <v>9.163145241409346</v>
      </c>
      <c r="Q19" t="n">
        <v>54.39310551756087</v>
      </c>
      <c r="R19" t="n">
        <v>55.76564009536217</v>
      </c>
      <c r="S19" t="n">
        <v>-1.4</v>
      </c>
      <c r="T19" t="n">
        <v>-2.595155709342556</v>
      </c>
      <c r="U19" t="n">
        <v>19.53290870488323</v>
      </c>
      <c r="V19" t="n">
        <v>29285</v>
      </c>
      <c r="W19" t="n">
        <v>25559.5</v>
      </c>
      <c r="X19" t="n">
        <v>20211.33333333333</v>
      </c>
      <c r="Y19" t="n">
        <v>0</v>
      </c>
      <c r="Z19" t="n">
        <v>1</v>
      </c>
      <c r="AA19" t="n">
        <v>1</v>
      </c>
      <c r="AB19" t="n">
        <v>19888.89761703886</v>
      </c>
      <c r="AC19" t="n">
        <v>53.9</v>
      </c>
      <c r="AD19" t="n">
        <v>84.3</v>
      </c>
      <c r="AE19" t="n">
        <v>18.5</v>
      </c>
      <c r="AF19" t="n">
        <v>62</v>
      </c>
      <c r="AG19" t="inlineStr">
        <is>
          <t>C</t>
        </is>
      </c>
    </row>
    <row r="20">
      <c r="A20" t="inlineStr">
        <is>
          <t>A457370</t>
        </is>
      </c>
      <c r="B20" t="inlineStr">
        <is>
          <t>한켐</t>
        </is>
      </c>
      <c r="C20" t="inlineStr"/>
      <c r="D20" t="inlineStr"/>
      <c r="E20" t="n">
        <v>9.9</v>
      </c>
      <c r="F20" t="n">
        <v>41.9</v>
      </c>
      <c r="G20" t="n">
        <v>42.4</v>
      </c>
      <c r="H20" t="n">
        <v>145.3</v>
      </c>
      <c r="I20" t="n">
        <v>-157.2</v>
      </c>
      <c r="J20" t="n">
        <v>-150.3</v>
      </c>
      <c r="K20" t="n">
        <v>11290</v>
      </c>
      <c r="L20" t="n">
        <v>603831</v>
      </c>
      <c r="M20" t="n">
        <v>68.1725199</v>
      </c>
      <c r="N20" t="n">
        <v>1403514.2</v>
      </c>
      <c r="O20" t="n">
        <v>0.4302279235935055</v>
      </c>
      <c r="P20" t="n">
        <v>7.574256574882651</v>
      </c>
      <c r="Q20" t="n">
        <v>60.1125847289442</v>
      </c>
      <c r="R20" t="n">
        <v>64.61265157161277</v>
      </c>
      <c r="S20" t="n">
        <v>-4.5</v>
      </c>
      <c r="T20" t="n">
        <v>-4.078164825828379</v>
      </c>
      <c r="U20" t="n">
        <v>21.65948275862069</v>
      </c>
      <c r="V20" t="n">
        <v>10636</v>
      </c>
      <c r="W20" t="n">
        <v>9665</v>
      </c>
      <c r="X20" t="n">
        <v>8964.166666666666</v>
      </c>
      <c r="Y20" t="n">
        <v>1</v>
      </c>
      <c r="Z20" t="n">
        <v>1</v>
      </c>
      <c r="AA20" t="n">
        <v>1</v>
      </c>
      <c r="AB20" t="n">
        <v>6385.120861898598</v>
      </c>
      <c r="AC20" t="n">
        <v>71.5</v>
      </c>
      <c r="AD20" t="n">
        <v>67</v>
      </c>
      <c r="AE20" t="n">
        <v>46.7</v>
      </c>
      <c r="AF20" t="n">
        <v>64.3</v>
      </c>
      <c r="AG20" t="inlineStr">
        <is>
          <t>C</t>
        </is>
      </c>
    </row>
    <row r="21">
      <c r="A21" t="inlineStr">
        <is>
          <t>A287840</t>
        </is>
      </c>
      <c r="B21" t="inlineStr">
        <is>
          <t>인투셀</t>
        </is>
      </c>
      <c r="C21" t="inlineStr"/>
      <c r="D21" t="inlineStr"/>
      <c r="E21" t="n">
        <v>8.1</v>
      </c>
      <c r="F21" t="n">
        <v>75.90000000000001</v>
      </c>
      <c r="G21" t="n">
        <v>314.5</v>
      </c>
      <c r="H21" t="n">
        <v>-9.199999999999999</v>
      </c>
      <c r="I21" t="n">
        <v>188.6</v>
      </c>
      <c r="J21" t="n">
        <v>488</v>
      </c>
      <c r="K21" t="n">
        <v>26400</v>
      </c>
      <c r="L21" t="n">
        <v>45850</v>
      </c>
      <c r="M21" t="n">
        <v>12.1044</v>
      </c>
      <c r="N21" t="n">
        <v>84577.85000000001</v>
      </c>
      <c r="O21" t="n">
        <v>0.5421041088180889</v>
      </c>
      <c r="P21" t="n">
        <v>2.859477262095634</v>
      </c>
      <c r="Q21" t="n">
        <v>24.57758536025586</v>
      </c>
      <c r="R21" t="n">
        <v>14.26279531563138</v>
      </c>
      <c r="S21" t="n">
        <v>10.3</v>
      </c>
      <c r="T21" t="n">
        <v>-1.49253731343284</v>
      </c>
      <c r="U21" t="n">
        <v>-25.94670406732118</v>
      </c>
      <c r="V21" t="n">
        <v>28900</v>
      </c>
      <c r="W21" t="n">
        <v>30922.5</v>
      </c>
      <c r="X21" t="n">
        <v>38566.66666666666</v>
      </c>
      <c r="Y21" t="n">
        <v>0</v>
      </c>
      <c r="Z21" t="n">
        <v>0</v>
      </c>
      <c r="AA21" t="n">
        <v>0</v>
      </c>
      <c r="AB21" t="n">
        <v>10803.60076426764</v>
      </c>
      <c r="AC21" t="n">
        <v>28.7</v>
      </c>
      <c r="AD21" t="n">
        <v>74.3</v>
      </c>
      <c r="AE21" t="n">
        <v>57</v>
      </c>
      <c r="AF21" t="n">
        <v>57.2</v>
      </c>
      <c r="AG21" t="inlineStr">
        <is>
          <t>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</cols>
  <sheetData>
    <row r="1">
      <c r="A1" s="20" t="inlineStr">
        <is>
          <t>코드</t>
        </is>
      </c>
      <c r="B1" s="20" t="inlineStr">
        <is>
          <t>코드명</t>
        </is>
      </c>
      <c r="C1" s="20" t="inlineStr">
        <is>
          <t>상장일</t>
        </is>
      </c>
      <c r="D1" s="20" t="inlineStr">
        <is>
          <t>days_since_ipo</t>
        </is>
      </c>
      <c r="E1" s="20" t="inlineStr">
        <is>
          <t>기관_일간</t>
        </is>
      </c>
      <c r="F1" s="20" t="inlineStr">
        <is>
          <t>기관_5일</t>
        </is>
      </c>
      <c r="G1" s="20" t="inlineStr">
        <is>
          <t>기관_20일</t>
        </is>
      </c>
      <c r="H1" s="20" t="inlineStr">
        <is>
          <t>외국인_일간</t>
        </is>
      </c>
      <c r="I1" s="20" t="inlineStr">
        <is>
          <t>외국인_5일</t>
        </is>
      </c>
      <c r="J1" s="20" t="inlineStr">
        <is>
          <t>외국인_20일</t>
        </is>
      </c>
      <c r="K1" s="20" t="inlineStr">
        <is>
          <t>현재가</t>
        </is>
      </c>
      <c r="L1" s="20" t="inlineStr">
        <is>
          <t>거래량</t>
        </is>
      </c>
      <c r="M1" s="20" t="inlineStr">
        <is>
          <t>거래대금(억)</t>
        </is>
      </c>
      <c r="N1" s="20" t="inlineStr">
        <is>
          <t>20일평균거래량</t>
        </is>
      </c>
      <c r="O1" s="20" t="inlineStr">
        <is>
          <t>RVOL(20)</t>
        </is>
      </c>
      <c r="P1" s="20" t="inlineStr">
        <is>
          <t>변동성(30D)</t>
        </is>
      </c>
      <c r="Q1" s="20" t="inlineStr">
        <is>
          <t>RSI(14)</t>
        </is>
      </c>
      <c r="R1" s="20" t="inlineStr">
        <is>
          <t>전일RSI(14)</t>
        </is>
      </c>
      <c r="S1" s="20" t="inlineStr">
        <is>
          <t>RSI변화량</t>
        </is>
      </c>
      <c r="T1" s="20" t="inlineStr">
        <is>
          <t>1일수익률(%)</t>
        </is>
      </c>
      <c r="U1" s="20" t="inlineStr">
        <is>
          <t>20일수익률(%)</t>
        </is>
      </c>
      <c r="V1" s="20" t="inlineStr">
        <is>
          <t>10일이평</t>
        </is>
      </c>
      <c r="W1" s="20" t="inlineStr">
        <is>
          <t>20일이평</t>
        </is>
      </c>
      <c r="X1" s="20" t="inlineStr">
        <is>
          <t>60일이평</t>
        </is>
      </c>
      <c r="Y1" s="20" t="inlineStr">
        <is>
          <t>10일선돌파</t>
        </is>
      </c>
      <c r="Z1" s="20" t="inlineStr">
        <is>
          <t>20일선돌파</t>
        </is>
      </c>
      <c r="AA1" s="20" t="inlineStr">
        <is>
          <t>60일선돌파</t>
        </is>
      </c>
      <c r="AB1" s="20" t="inlineStr">
        <is>
          <t>BB폭</t>
        </is>
      </c>
      <c r="AC1" s="20" t="inlineStr">
        <is>
          <t>모멘텀스코어</t>
        </is>
      </c>
      <c r="AD1" s="20" t="inlineStr">
        <is>
          <t>수급스코어</t>
        </is>
      </c>
      <c r="AE1" s="20" t="inlineStr">
        <is>
          <t>거래량스코어</t>
        </is>
      </c>
      <c r="AF1" s="20" t="inlineStr">
        <is>
          <t>종합스코어</t>
        </is>
      </c>
      <c r="AG1" s="20" t="inlineStr">
        <is>
          <t>등급</t>
        </is>
      </c>
    </row>
    <row r="2">
      <c r="A2" t="inlineStr">
        <is>
          <t>A476080</t>
        </is>
      </c>
      <c r="B2" t="inlineStr">
        <is>
          <t>M83</t>
        </is>
      </c>
      <c r="C2" t="inlineStr"/>
      <c r="D2" t="inlineStr"/>
      <c r="E2" t="n">
        <v>-0</v>
      </c>
      <c r="F2" t="n">
        <v>-0.3</v>
      </c>
      <c r="G2" t="n">
        <v>-0.3</v>
      </c>
      <c r="H2" t="n">
        <v>1.9</v>
      </c>
      <c r="I2" t="n">
        <v>-0.7</v>
      </c>
      <c r="J2" t="n">
        <v>-33.7</v>
      </c>
      <c r="K2" t="n">
        <v>7760</v>
      </c>
      <c r="L2" t="n">
        <v>255851</v>
      </c>
      <c r="M2" t="n">
        <v>19.8540376</v>
      </c>
      <c r="N2" t="n">
        <v>64930.4</v>
      </c>
      <c r="O2" t="n">
        <v>3.940388477508224</v>
      </c>
      <c r="P2" t="n">
        <v>8.5578053251462</v>
      </c>
      <c r="Q2" t="n">
        <v>65.95034493601457</v>
      </c>
      <c r="R2" t="n">
        <v>40.92280314926256</v>
      </c>
      <c r="S2" t="n">
        <v>25</v>
      </c>
      <c r="T2" t="n">
        <v>29.98324958123952</v>
      </c>
      <c r="U2" t="n">
        <v>8.835904628330995</v>
      </c>
      <c r="V2" t="n">
        <v>5618</v>
      </c>
      <c r="W2" t="n">
        <v>5929</v>
      </c>
      <c r="X2" t="n">
        <v>6425.333333333333</v>
      </c>
      <c r="Y2" t="n">
        <v>1</v>
      </c>
      <c r="Z2" t="n">
        <v>1</v>
      </c>
      <c r="AA2" t="n">
        <v>1</v>
      </c>
      <c r="AB2" t="n">
        <v>2914.967545183601</v>
      </c>
      <c r="AC2" t="n">
        <v>98.09999999999999</v>
      </c>
      <c r="AD2" t="n">
        <v>49.8</v>
      </c>
      <c r="AE2" t="n">
        <v>100</v>
      </c>
      <c r="AF2" t="n">
        <v>74.3</v>
      </c>
      <c r="AG2" t="inlineStr">
        <is>
          <t>B</t>
        </is>
      </c>
    </row>
    <row r="3">
      <c r="A3" t="inlineStr">
        <is>
          <t>A424870</t>
        </is>
      </c>
      <c r="B3" t="inlineStr">
        <is>
          <t>이뮨온시아</t>
        </is>
      </c>
      <c r="C3" t="inlineStr"/>
      <c r="D3" t="inlineStr"/>
      <c r="E3" t="n">
        <v>-47.1</v>
      </c>
      <c r="F3" t="n">
        <v>-115.8</v>
      </c>
      <c r="G3" t="n">
        <v>-507.2</v>
      </c>
      <c r="H3" t="n">
        <v>-25.4</v>
      </c>
      <c r="I3" t="n">
        <v>-82.7</v>
      </c>
      <c r="J3" t="n">
        <v>0.6</v>
      </c>
      <c r="K3" t="n">
        <v>4425</v>
      </c>
      <c r="L3" t="n">
        <v>1883495</v>
      </c>
      <c r="M3" t="n">
        <v>83.34465375000001</v>
      </c>
      <c r="N3" t="n">
        <v>512446.75</v>
      </c>
      <c r="O3" t="n">
        <v>3.675494087922306</v>
      </c>
      <c r="P3" t="n">
        <v>5.066704153608313</v>
      </c>
      <c r="Q3" t="n">
        <v>28.77866580071285</v>
      </c>
      <c r="R3" t="n">
        <v>27.95774680434242</v>
      </c>
      <c r="S3" t="n">
        <v>0.8</v>
      </c>
      <c r="T3" t="n">
        <v>-15.71428571428571</v>
      </c>
      <c r="U3" t="n">
        <v>-36.05491329479769</v>
      </c>
      <c r="V3" t="n">
        <v>5704.5</v>
      </c>
      <c r="W3" t="n">
        <v>5879.25</v>
      </c>
      <c r="X3" t="n">
        <v>7098</v>
      </c>
      <c r="Y3" t="n">
        <v>0</v>
      </c>
      <c r="Z3" t="n">
        <v>0</v>
      </c>
      <c r="AA3" t="n">
        <v>0</v>
      </c>
      <c r="AB3" t="n">
        <v>2285.443870282241</v>
      </c>
      <c r="AC3" t="n">
        <v>12.2</v>
      </c>
      <c r="AD3" t="n">
        <v>19.8</v>
      </c>
      <c r="AE3" t="n">
        <v>99.3</v>
      </c>
      <c r="AF3" t="n">
        <v>33.4</v>
      </c>
      <c r="AG3" t="inlineStr">
        <is>
          <t>D</t>
        </is>
      </c>
    </row>
    <row r="4">
      <c r="A4" t="inlineStr">
        <is>
          <t>A481070</t>
        </is>
      </c>
      <c r="B4" t="inlineStr">
        <is>
          <t>에이유브랜즈</t>
        </is>
      </c>
      <c r="C4" t="inlineStr"/>
      <c r="D4" t="inlineStr"/>
      <c r="E4" t="n">
        <v>-12.1</v>
      </c>
      <c r="F4" t="n">
        <v>-88.2</v>
      </c>
      <c r="G4" t="n">
        <v>-199.6</v>
      </c>
      <c r="H4" t="n">
        <v>20.4</v>
      </c>
      <c r="I4" t="n">
        <v>44.8</v>
      </c>
      <c r="J4" t="n">
        <v>12.1</v>
      </c>
      <c r="K4" t="n">
        <v>12420</v>
      </c>
      <c r="L4" t="n">
        <v>101612</v>
      </c>
      <c r="M4" t="n">
        <v>12.6202104</v>
      </c>
      <c r="N4" t="n">
        <v>32942.15</v>
      </c>
      <c r="O4" t="n">
        <v>3.084558840269988</v>
      </c>
      <c r="P4" t="n">
        <v>2.826410644628966</v>
      </c>
      <c r="Q4" t="n">
        <v>20.71842891899411</v>
      </c>
      <c r="R4" t="n">
        <v>10.59844735527687</v>
      </c>
      <c r="S4" t="n">
        <v>10.1</v>
      </c>
      <c r="T4" t="n">
        <v>-1.506740681998409</v>
      </c>
      <c r="U4" t="n">
        <v>-30.76923076923077</v>
      </c>
      <c r="V4" t="n">
        <v>14135</v>
      </c>
      <c r="W4" t="n">
        <v>15573</v>
      </c>
      <c r="X4" t="n">
        <v>17103.16666666667</v>
      </c>
      <c r="Y4" t="n">
        <v>0</v>
      </c>
      <c r="Z4" t="n">
        <v>0</v>
      </c>
      <c r="AA4" t="n">
        <v>0</v>
      </c>
      <c r="AB4" t="n">
        <v>6714.297078857737</v>
      </c>
      <c r="AC4" t="n">
        <v>21.4</v>
      </c>
      <c r="AD4" t="n">
        <v>44.6</v>
      </c>
      <c r="AE4" t="n">
        <v>98.5</v>
      </c>
      <c r="AF4" t="n">
        <v>48.4</v>
      </c>
      <c r="AG4" t="inlineStr">
        <is>
          <t>D</t>
        </is>
      </c>
    </row>
    <row r="5">
      <c r="A5" t="inlineStr">
        <is>
          <t>A486990</t>
        </is>
      </c>
      <c r="B5" t="inlineStr">
        <is>
          <t>노타</t>
        </is>
      </c>
      <c r="C5" t="inlineStr"/>
      <c r="D5" t="inlineStr"/>
      <c r="E5" t="n">
        <v>-143.8</v>
      </c>
      <c r="F5" t="n">
        <v>-274.1</v>
      </c>
      <c r="G5" t="n">
        <v>-636.1</v>
      </c>
      <c r="H5" t="n">
        <v>-73.7</v>
      </c>
      <c r="I5" t="n">
        <v>-124</v>
      </c>
      <c r="J5" t="n">
        <v>-67.59999999999999</v>
      </c>
      <c r="K5" t="n">
        <v>39100</v>
      </c>
      <c r="L5" t="n">
        <v>1459689</v>
      </c>
      <c r="M5" t="n">
        <v>570.738399</v>
      </c>
      <c r="N5" t="n">
        <v>649706.75</v>
      </c>
      <c r="O5" t="n">
        <v>2.246688986992978</v>
      </c>
      <c r="P5" t="n">
        <v>7.486459254269123</v>
      </c>
      <c r="Q5" t="n">
        <v>60.28105858483153</v>
      </c>
      <c r="R5" t="n">
        <v>48.41635840371533</v>
      </c>
      <c r="S5" t="n">
        <v>11.9</v>
      </c>
      <c r="T5" t="n">
        <v>12.03438395415473</v>
      </c>
      <c r="U5" t="n">
        <v>12.68011527377522</v>
      </c>
      <c r="V5" t="n">
        <v>32435</v>
      </c>
      <c r="W5" t="n">
        <v>32057.5</v>
      </c>
      <c r="X5" t="n">
        <v>35302.5</v>
      </c>
      <c r="Y5" t="n">
        <v>1</v>
      </c>
      <c r="Z5" t="n">
        <v>1</v>
      </c>
      <c r="AA5" t="n">
        <v>1</v>
      </c>
      <c r="AB5" t="n">
        <v>15441.88085080721</v>
      </c>
      <c r="AC5" t="n">
        <v>98</v>
      </c>
      <c r="AD5" t="n">
        <v>11.2</v>
      </c>
      <c r="AE5" t="n">
        <v>97.8</v>
      </c>
      <c r="AF5" t="n">
        <v>54.6</v>
      </c>
      <c r="AG5" t="inlineStr">
        <is>
          <t>C</t>
        </is>
      </c>
    </row>
    <row r="6">
      <c r="A6" t="inlineStr">
        <is>
          <t>A457600</t>
        </is>
      </c>
      <c r="B6" t="inlineStr">
        <is>
          <t>벡트</t>
        </is>
      </c>
      <c r="C6" t="inlineStr"/>
      <c r="D6" t="inlineStr"/>
      <c r="E6" t="n">
        <v>0.2</v>
      </c>
      <c r="F6" t="n">
        <v>0.1</v>
      </c>
      <c r="G6" t="n">
        <v>-0</v>
      </c>
      <c r="H6" t="n">
        <v>0.7</v>
      </c>
      <c r="I6" t="n">
        <v>1.4</v>
      </c>
      <c r="J6" t="n">
        <v>0.1</v>
      </c>
      <c r="K6" t="n">
        <v>1611</v>
      </c>
      <c r="L6" t="n">
        <v>99426</v>
      </c>
      <c r="M6" t="n">
        <v>1.60175286</v>
      </c>
      <c r="N6" t="n">
        <v>46680.65</v>
      </c>
      <c r="O6" t="n">
        <v>2.129918927864115</v>
      </c>
      <c r="P6" t="n">
        <v>3.473075250778018</v>
      </c>
      <c r="Q6" t="n">
        <v>34.92875819184506</v>
      </c>
      <c r="R6" t="n">
        <v>50.66168845034715</v>
      </c>
      <c r="S6" t="n">
        <v>-15.7</v>
      </c>
      <c r="T6" t="n">
        <v>2.611464968152877</v>
      </c>
      <c r="U6" t="n">
        <v>-26.10091743119266</v>
      </c>
      <c r="V6" t="n">
        <v>1652.8</v>
      </c>
      <c r="W6" t="n">
        <v>1824.3</v>
      </c>
      <c r="X6" t="n">
        <v>2042.05</v>
      </c>
      <c r="Y6" t="n">
        <v>0</v>
      </c>
      <c r="Z6" t="n">
        <v>0</v>
      </c>
      <c r="AA6" t="n">
        <v>0</v>
      </c>
      <c r="AB6" t="n">
        <v>895.6438201827641</v>
      </c>
      <c r="AC6" t="n">
        <v>52.4</v>
      </c>
      <c r="AD6" t="n">
        <v>60.2</v>
      </c>
      <c r="AE6" t="n">
        <v>97</v>
      </c>
      <c r="AF6" t="n">
        <v>65.2</v>
      </c>
      <c r="AG6" t="inlineStr">
        <is>
          <t>B</t>
        </is>
      </c>
    </row>
    <row r="7">
      <c r="A7" t="inlineStr">
        <is>
          <t>A331740</t>
        </is>
      </c>
      <c r="B7" t="inlineStr">
        <is>
          <t>아우토크립트</t>
        </is>
      </c>
      <c r="C7" t="inlineStr"/>
      <c r="D7" t="inlineStr"/>
      <c r="E7" t="n">
        <v>-8.4</v>
      </c>
      <c r="F7" t="n">
        <v>117.8</v>
      </c>
      <c r="G7" t="n">
        <v>-120.5</v>
      </c>
      <c r="H7" t="n">
        <v>-40.6</v>
      </c>
      <c r="I7" t="n">
        <v>-96.7</v>
      </c>
      <c r="J7" t="n">
        <v>-131.3</v>
      </c>
      <c r="K7" t="n">
        <v>10580</v>
      </c>
      <c r="L7" t="n">
        <v>219498</v>
      </c>
      <c r="M7" t="n">
        <v>23.2228884</v>
      </c>
      <c r="N7" t="n">
        <v>108080.6</v>
      </c>
      <c r="O7" t="n">
        <v>2.030873255699913</v>
      </c>
      <c r="P7" t="n">
        <v>5.335365202880165</v>
      </c>
      <c r="Q7" t="n">
        <v>33.68126313732011</v>
      </c>
      <c r="R7" t="n">
        <v>34.86377228044685</v>
      </c>
      <c r="S7" t="n">
        <v>-1.2</v>
      </c>
      <c r="T7" t="n">
        <v>-12.92181069958848</v>
      </c>
      <c r="U7" t="n">
        <v>-28.56178257933828</v>
      </c>
      <c r="V7" t="n">
        <v>12247</v>
      </c>
      <c r="W7" t="n">
        <v>12699</v>
      </c>
      <c r="X7" t="n">
        <v>15147.83333333333</v>
      </c>
      <c r="Y7" t="n">
        <v>0</v>
      </c>
      <c r="Z7" t="n">
        <v>0</v>
      </c>
      <c r="AA7" t="n">
        <v>0</v>
      </c>
      <c r="AB7" t="n">
        <v>4306.194314436467</v>
      </c>
      <c r="AC7" t="n">
        <v>24.9</v>
      </c>
      <c r="AD7" t="n">
        <v>32.2</v>
      </c>
      <c r="AE7" t="n">
        <v>96.3</v>
      </c>
      <c r="AF7" t="n">
        <v>42.8</v>
      </c>
      <c r="AG7" t="inlineStr">
        <is>
          <t>D</t>
        </is>
      </c>
    </row>
    <row r="8">
      <c r="A8" t="inlineStr">
        <is>
          <t>A061090</t>
        </is>
      </c>
      <c r="B8" t="inlineStr">
        <is>
          <t>세나테크놀로지</t>
        </is>
      </c>
      <c r="C8" t="inlineStr"/>
      <c r="D8" t="inlineStr"/>
      <c r="E8" t="n">
        <v>-5.1</v>
      </c>
      <c r="F8" t="n">
        <v>-1.2</v>
      </c>
      <c r="G8" t="n">
        <v>116.5</v>
      </c>
      <c r="H8" t="n">
        <v>-49.7</v>
      </c>
      <c r="I8" t="n">
        <v>-55.7</v>
      </c>
      <c r="J8" t="n">
        <v>-173.5</v>
      </c>
      <c r="K8" t="n">
        <v>49800</v>
      </c>
      <c r="L8" t="n">
        <v>189628</v>
      </c>
      <c r="M8" t="n">
        <v>94.43474399999999</v>
      </c>
      <c r="N8" t="n">
        <v>103121</v>
      </c>
      <c r="O8" t="n">
        <v>1.83888829627331</v>
      </c>
      <c r="P8" t="n">
        <v>7.991728775716518</v>
      </c>
      <c r="Q8" t="n">
        <v>57.99937129841109</v>
      </c>
      <c r="R8" t="n">
        <v>50.45255569060734</v>
      </c>
      <c r="S8" t="n">
        <v>7.5</v>
      </c>
      <c r="T8" t="n">
        <v>-1.968503937007871</v>
      </c>
      <c r="U8" t="n">
        <v>17.45283018867924</v>
      </c>
      <c r="V8" t="n">
        <v>45480</v>
      </c>
      <c r="W8" t="n">
        <v>45827.5</v>
      </c>
      <c r="X8" t="n">
        <v>41210</v>
      </c>
      <c r="Y8" t="n">
        <v>1</v>
      </c>
      <c r="Z8" t="n">
        <v>1</v>
      </c>
      <c r="AA8" t="n">
        <v>1</v>
      </c>
      <c r="AB8" t="n">
        <v>16908.97924025482</v>
      </c>
      <c r="AC8" t="n">
        <v>75.59999999999999</v>
      </c>
      <c r="AD8" t="n">
        <v>32.7</v>
      </c>
      <c r="AE8" t="n">
        <v>95.59999999999999</v>
      </c>
      <c r="AF8" t="n">
        <v>58.2</v>
      </c>
      <c r="AG8" t="inlineStr">
        <is>
          <t>C</t>
        </is>
      </c>
    </row>
    <row r="9">
      <c r="A9" t="inlineStr">
        <is>
          <t>A347850</t>
        </is>
      </c>
      <c r="B9" t="inlineStr">
        <is>
          <t>디앤디파마텍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94000</v>
      </c>
      <c r="L9" t="n">
        <v>1925795</v>
      </c>
      <c r="M9" t="n">
        <v>1810.2473</v>
      </c>
      <c r="N9" t="n">
        <v>1364003.35</v>
      </c>
      <c r="O9" t="n">
        <v>1.411869699586881</v>
      </c>
      <c r="P9" t="n">
        <v>8.14321370849664</v>
      </c>
      <c r="Q9" t="n">
        <v>59.71953800661702</v>
      </c>
      <c r="R9" t="n">
        <v>48.21238098345931</v>
      </c>
      <c r="S9" t="n">
        <v>11.5</v>
      </c>
      <c r="T9" t="n">
        <v>11.7717003567182</v>
      </c>
      <c r="U9" t="n">
        <v>25.50066755674233</v>
      </c>
      <c r="V9" t="n">
        <v>82730</v>
      </c>
      <c r="W9" t="n">
        <v>75585</v>
      </c>
      <c r="X9" t="n">
        <v>76581.66666666667</v>
      </c>
      <c r="Y9" t="n">
        <v>1</v>
      </c>
      <c r="Z9" t="n">
        <v>1</v>
      </c>
      <c r="AA9" t="n">
        <v>1</v>
      </c>
      <c r="AB9" t="n">
        <v>54794.58674761682</v>
      </c>
      <c r="AC9" t="n">
        <v>98.8</v>
      </c>
      <c r="AD9" t="n">
        <v>50</v>
      </c>
      <c r="AE9" t="n">
        <v>94.8</v>
      </c>
      <c r="AF9" t="n">
        <v>73.59999999999999</v>
      </c>
      <c r="AG9" t="inlineStr">
        <is>
          <t>B</t>
        </is>
      </c>
    </row>
    <row r="10">
      <c r="A10" t="inlineStr">
        <is>
          <t>A403850</t>
        </is>
      </c>
      <c r="B10" t="inlineStr">
        <is>
          <t>더핑크퐁컴퍼니</t>
        </is>
      </c>
      <c r="C10" t="inlineStr"/>
      <c r="D10" t="inlineStr"/>
      <c r="E10" t="n">
        <v>-19.4</v>
      </c>
      <c r="F10" t="n">
        <v>-29.4</v>
      </c>
      <c r="G10" t="n">
        <v>-336.5</v>
      </c>
      <c r="H10" t="n">
        <v>13.5</v>
      </c>
      <c r="I10" t="n">
        <v>55.1</v>
      </c>
      <c r="J10" t="n">
        <v>64</v>
      </c>
      <c r="K10" t="n">
        <v>11600</v>
      </c>
      <c r="L10" t="n">
        <v>87724</v>
      </c>
      <c r="M10" t="n">
        <v>10.175984</v>
      </c>
      <c r="N10" t="n">
        <v>71887.8</v>
      </c>
      <c r="O10" t="n">
        <v>1.220290508264267</v>
      </c>
      <c r="P10" t="n">
        <v>3.456253494558745</v>
      </c>
      <c r="Q10" t="n">
        <v>29.20033544963842</v>
      </c>
      <c r="R10" t="n">
        <v>21.2869047370525</v>
      </c>
      <c r="S10" t="n">
        <v>7.9</v>
      </c>
      <c r="T10" t="n">
        <v>-8.37282780410743</v>
      </c>
      <c r="U10" t="n">
        <v>-32.24299065420561</v>
      </c>
      <c r="V10" t="n">
        <v>12541</v>
      </c>
      <c r="W10" t="n">
        <v>13781</v>
      </c>
      <c r="X10" t="n">
        <v>16057.5</v>
      </c>
      <c r="Y10" t="n">
        <v>0</v>
      </c>
      <c r="Z10" t="n">
        <v>0</v>
      </c>
      <c r="AA10" t="n">
        <v>0</v>
      </c>
      <c r="AB10" t="n">
        <v>6180.920047337582</v>
      </c>
      <c r="AC10" t="n">
        <v>17.8</v>
      </c>
      <c r="AD10" t="n">
        <v>46.1</v>
      </c>
      <c r="AE10" t="n">
        <v>94.09999999999999</v>
      </c>
      <c r="AF10" t="n">
        <v>47.2</v>
      </c>
      <c r="AG10" t="inlineStr">
        <is>
          <t>D</t>
        </is>
      </c>
    </row>
    <row r="11">
      <c r="A11" t="inlineStr">
        <is>
          <t>A462980</t>
        </is>
      </c>
      <c r="B11" t="inlineStr">
        <is>
          <t>아이지넷</t>
        </is>
      </c>
      <c r="C11" t="inlineStr"/>
      <c r="D11" t="inlineStr"/>
      <c r="E11" t="n">
        <v>-1</v>
      </c>
      <c r="F11" t="n">
        <v>0.4</v>
      </c>
      <c r="G11" t="n">
        <v>5.7</v>
      </c>
      <c r="H11" t="n">
        <v>-32.1</v>
      </c>
      <c r="I11" t="n">
        <v>-50.8</v>
      </c>
      <c r="J11" t="n">
        <v>-116.8</v>
      </c>
      <c r="K11" t="n">
        <v>1421</v>
      </c>
      <c r="L11" t="n">
        <v>316336</v>
      </c>
      <c r="M11" t="n">
        <v>4.49513456</v>
      </c>
      <c r="N11" t="n">
        <v>271172.65</v>
      </c>
      <c r="O11" t="n">
        <v>1.166548322627669</v>
      </c>
      <c r="P11" t="n">
        <v>3.322086269512235</v>
      </c>
      <c r="Q11" t="n">
        <v>23.88891122611146</v>
      </c>
      <c r="R11" t="n">
        <v>17.14578003629549</v>
      </c>
      <c r="S11" t="n">
        <v>6.7</v>
      </c>
      <c r="T11" t="n">
        <v>-10.17699115044248</v>
      </c>
      <c r="U11" t="n">
        <v>-37.12389380530973</v>
      </c>
      <c r="V11" t="n">
        <v>1610.6</v>
      </c>
      <c r="W11" t="n">
        <v>1828.9</v>
      </c>
      <c r="X11" t="n">
        <v>2169.8</v>
      </c>
      <c r="Y11" t="n">
        <v>0</v>
      </c>
      <c r="Z11" t="n">
        <v>0</v>
      </c>
      <c r="AA11" t="n">
        <v>0</v>
      </c>
      <c r="AB11" t="n">
        <v>1040.681477130304</v>
      </c>
      <c r="AC11" t="n">
        <v>7.2</v>
      </c>
      <c r="AD11" t="n">
        <v>40.5</v>
      </c>
      <c r="AE11" t="n">
        <v>93.3</v>
      </c>
      <c r="AF11" t="n">
        <v>41.1</v>
      </c>
      <c r="AG11" t="inlineStr">
        <is>
          <t>D</t>
        </is>
      </c>
    </row>
    <row r="12">
      <c r="A12" t="inlineStr">
        <is>
          <t>A415640</t>
        </is>
      </c>
      <c r="B12" t="inlineStr">
        <is>
          <t>KB발해인프라</t>
        </is>
      </c>
      <c r="C12" t="inlineStr"/>
      <c r="D12" t="inlineStr"/>
      <c r="E12" t="n">
        <v>14.1</v>
      </c>
      <c r="F12" t="n">
        <v>-24.3</v>
      </c>
      <c r="G12" t="n">
        <v>38.3</v>
      </c>
      <c r="H12" t="n">
        <v>6.5</v>
      </c>
      <c r="I12" t="n">
        <v>-12.5</v>
      </c>
      <c r="J12" t="n">
        <v>-127</v>
      </c>
      <c r="K12" t="n">
        <v>9620</v>
      </c>
      <c r="L12" t="n">
        <v>126149</v>
      </c>
      <c r="M12" t="n">
        <v>12.1355338</v>
      </c>
      <c r="N12" t="n">
        <v>113356.4</v>
      </c>
      <c r="O12" t="n">
        <v>1.112852913465848</v>
      </c>
      <c r="P12" t="n">
        <v>1.124176066124202</v>
      </c>
      <c r="Q12" t="n">
        <v>37.79579579206913</v>
      </c>
      <c r="R12" t="n">
        <v>31.48088343888248</v>
      </c>
      <c r="S12" t="n">
        <v>6.3</v>
      </c>
      <c r="T12" t="n">
        <v>-1.736465781409602</v>
      </c>
      <c r="U12" t="n">
        <v>-3.703703703703703</v>
      </c>
      <c r="V12" t="n">
        <v>9908</v>
      </c>
      <c r="W12" t="n">
        <v>9914</v>
      </c>
      <c r="X12" t="n">
        <v>9946.5</v>
      </c>
      <c r="Y12" t="n">
        <v>0</v>
      </c>
      <c r="Z12" t="n">
        <v>0</v>
      </c>
      <c r="AA12" t="n">
        <v>0</v>
      </c>
      <c r="AB12" t="n">
        <v>519.3356079494406</v>
      </c>
      <c r="AC12" t="n">
        <v>49.5</v>
      </c>
      <c r="AD12" t="n">
        <v>53.6</v>
      </c>
      <c r="AE12" t="n">
        <v>92.59999999999999</v>
      </c>
      <c r="AF12" t="n">
        <v>60.2</v>
      </c>
      <c r="AG12" t="inlineStr">
        <is>
          <t>C</t>
        </is>
      </c>
    </row>
    <row r="13">
      <c r="A13" t="inlineStr">
        <is>
          <t>A098070</t>
        </is>
      </c>
      <c r="B13" t="inlineStr">
        <is>
          <t>한텍</t>
        </is>
      </c>
      <c r="C13" t="inlineStr"/>
      <c r="D13" t="inlineStr"/>
      <c r="E13" t="n">
        <v>-21.9</v>
      </c>
      <c r="F13" t="n">
        <v>-759.6</v>
      </c>
      <c r="G13" t="n">
        <v>-1190.2</v>
      </c>
      <c r="H13" t="n">
        <v>7.3</v>
      </c>
      <c r="I13" t="n">
        <v>156.4</v>
      </c>
      <c r="J13" t="n">
        <v>225.5</v>
      </c>
      <c r="K13" t="n">
        <v>36800</v>
      </c>
      <c r="L13" t="n">
        <v>112788</v>
      </c>
      <c r="M13" t="n">
        <v>41.505984</v>
      </c>
      <c r="N13" t="n">
        <v>105304.1</v>
      </c>
      <c r="O13" t="n">
        <v>1.071069407553932</v>
      </c>
      <c r="P13" t="n">
        <v>3.920548586204552</v>
      </c>
      <c r="Q13" t="n">
        <v>45.70089627437983</v>
      </c>
      <c r="R13" t="n">
        <v>35.07572127494295</v>
      </c>
      <c r="S13" t="n">
        <v>10.6</v>
      </c>
      <c r="T13" t="n">
        <v>9.361069836552737</v>
      </c>
      <c r="U13" t="n">
        <v>-20.26002166847237</v>
      </c>
      <c r="V13" t="n">
        <v>35540</v>
      </c>
      <c r="W13" t="n">
        <v>37627.5</v>
      </c>
      <c r="X13" t="n">
        <v>42726.66666666666</v>
      </c>
      <c r="Y13" t="n">
        <v>1</v>
      </c>
      <c r="Z13" t="n">
        <v>0</v>
      </c>
      <c r="AA13" t="n">
        <v>0</v>
      </c>
      <c r="AB13" t="n">
        <v>14878.805130294</v>
      </c>
      <c r="AC13" t="n">
        <v>87.59999999999999</v>
      </c>
      <c r="AD13" t="n">
        <v>39.7</v>
      </c>
      <c r="AE13" t="n">
        <v>91.90000000000001</v>
      </c>
      <c r="AF13" t="n">
        <v>64.5</v>
      </c>
      <c r="AG13" t="inlineStr">
        <is>
          <t>C</t>
        </is>
      </c>
    </row>
    <row r="14">
      <c r="A14" t="inlineStr">
        <is>
          <t>A463020</t>
        </is>
      </c>
      <c r="B14" t="inlineStr">
        <is>
          <t>뉴엔AI</t>
        </is>
      </c>
      <c r="C14" t="inlineStr"/>
      <c r="D14" t="inlineStr"/>
      <c r="E14" t="n">
        <v>-2</v>
      </c>
      <c r="F14" t="n">
        <v>-11.4</v>
      </c>
      <c r="G14" t="n">
        <v>-29</v>
      </c>
      <c r="H14" t="n">
        <v>25.3</v>
      </c>
      <c r="I14" t="n">
        <v>16</v>
      </c>
      <c r="J14" t="n">
        <v>-7.2</v>
      </c>
      <c r="K14" t="n">
        <v>8820</v>
      </c>
      <c r="L14" t="n">
        <v>98891</v>
      </c>
      <c r="M14" t="n">
        <v>8.722186199999999</v>
      </c>
      <c r="N14" t="n">
        <v>92838.05</v>
      </c>
      <c r="O14" t="n">
        <v>1.065199021306458</v>
      </c>
      <c r="P14" t="n">
        <v>3.908125309939439</v>
      </c>
      <c r="Q14" t="n">
        <v>26.07442916739495</v>
      </c>
      <c r="R14" t="n">
        <v>23.71003261404047</v>
      </c>
      <c r="S14" t="n">
        <v>2.4</v>
      </c>
      <c r="T14" t="n">
        <v>0.5701254275940704</v>
      </c>
      <c r="U14" t="n">
        <v>-41.89723320158103</v>
      </c>
      <c r="V14" t="n">
        <v>9777</v>
      </c>
      <c r="W14" t="n">
        <v>11229.5</v>
      </c>
      <c r="X14" t="n">
        <v>12657.5</v>
      </c>
      <c r="Y14" t="n">
        <v>0</v>
      </c>
      <c r="Z14" t="n">
        <v>0</v>
      </c>
      <c r="AA14" t="n">
        <v>0</v>
      </c>
      <c r="AB14" t="n">
        <v>7318.101278049493</v>
      </c>
      <c r="AC14" t="n">
        <v>25.3</v>
      </c>
      <c r="AD14" t="n">
        <v>51.9</v>
      </c>
      <c r="AE14" t="n">
        <v>91.09999999999999</v>
      </c>
      <c r="AF14" t="n">
        <v>51.8</v>
      </c>
      <c r="AG14" t="inlineStr">
        <is>
          <t>C</t>
        </is>
      </c>
    </row>
    <row r="15">
      <c r="A15" t="inlineStr">
        <is>
          <t>A466410</t>
        </is>
      </c>
      <c r="B15" t="inlineStr">
        <is>
          <t>사이냅소프트</t>
        </is>
      </c>
      <c r="C15" t="inlineStr"/>
      <c r="D15" t="inlineStr"/>
      <c r="E15" t="n">
        <v>-0.5</v>
      </c>
      <c r="F15" t="n">
        <v>-0.6</v>
      </c>
      <c r="G15" t="n">
        <v>-8.300000000000001</v>
      </c>
      <c r="H15" t="n">
        <v>-2.4</v>
      </c>
      <c r="I15" t="n">
        <v>-9.199999999999999</v>
      </c>
      <c r="J15" t="n">
        <v>-38.8</v>
      </c>
      <c r="K15" t="n">
        <v>9740</v>
      </c>
      <c r="L15" t="n">
        <v>32637</v>
      </c>
      <c r="M15" t="n">
        <v>3.1788438</v>
      </c>
      <c r="N15" t="n">
        <v>31268.2</v>
      </c>
      <c r="O15" t="n">
        <v>1.043776104796566</v>
      </c>
      <c r="P15" t="n">
        <v>1.842450114393102</v>
      </c>
      <c r="Q15" t="n">
        <v>29.4244187101707</v>
      </c>
      <c r="R15" t="n">
        <v>15.81278349190592</v>
      </c>
      <c r="S15" t="n">
        <v>13.6</v>
      </c>
      <c r="T15" t="n">
        <v>-3.373015873015872</v>
      </c>
      <c r="U15" t="n">
        <v>-16.89419795221843</v>
      </c>
      <c r="V15" t="n">
        <v>10190</v>
      </c>
      <c r="W15" t="n">
        <v>10568</v>
      </c>
      <c r="X15" t="n">
        <v>11136.5</v>
      </c>
      <c r="Y15" t="n">
        <v>0</v>
      </c>
      <c r="Z15" t="n">
        <v>0</v>
      </c>
      <c r="AA15" t="n">
        <v>0</v>
      </c>
      <c r="AB15" t="n">
        <v>1823.662018548046</v>
      </c>
      <c r="AC15" t="n">
        <v>34.1</v>
      </c>
      <c r="AD15" t="n">
        <v>41.7</v>
      </c>
      <c r="AE15" t="n">
        <v>90.40000000000001</v>
      </c>
      <c r="AF15" t="n">
        <v>49.2</v>
      </c>
      <c r="AG15" t="inlineStr">
        <is>
          <t>D</t>
        </is>
      </c>
    </row>
    <row r="16">
      <c r="A16" t="inlineStr">
        <is>
          <t>A483650</t>
        </is>
      </c>
      <c r="B16" t="inlineStr">
        <is>
          <t>달바글로벌</t>
        </is>
      </c>
      <c r="C16" t="inlineStr"/>
      <c r="D16" t="inlineStr"/>
      <c r="E16" t="n">
        <v>-1546</v>
      </c>
      <c r="F16" t="n">
        <v>-4786</v>
      </c>
      <c r="G16" t="n">
        <v>-3164.1</v>
      </c>
      <c r="H16" t="n">
        <v>1589.7</v>
      </c>
      <c r="I16" t="n">
        <v>7177.5</v>
      </c>
      <c r="J16" t="n">
        <v>12949.7</v>
      </c>
      <c r="K16" t="n">
        <v>198100</v>
      </c>
      <c r="L16" t="n">
        <v>261115</v>
      </c>
      <c r="M16" t="n">
        <v>517.268815</v>
      </c>
      <c r="N16" t="n">
        <v>254263.05</v>
      </c>
      <c r="O16" t="n">
        <v>1.026948272664864</v>
      </c>
      <c r="P16" t="n">
        <v>4.674422902671763</v>
      </c>
      <c r="Q16" t="n">
        <v>43.86710140349594</v>
      </c>
      <c r="R16" t="n">
        <v>25.40613978679156</v>
      </c>
      <c r="S16" t="n">
        <v>18.5</v>
      </c>
      <c r="T16" t="n">
        <v>5.709711846318033</v>
      </c>
      <c r="U16" t="n">
        <v>-11.36465324384787</v>
      </c>
      <c r="V16" t="n">
        <v>205400</v>
      </c>
      <c r="W16" t="n">
        <v>217875</v>
      </c>
      <c r="X16" t="n">
        <v>189655</v>
      </c>
      <c r="Y16" t="n">
        <v>0</v>
      </c>
      <c r="Z16" t="n">
        <v>0</v>
      </c>
      <c r="AA16" t="n">
        <v>1</v>
      </c>
      <c r="AB16" t="n">
        <v>74619.35687911441</v>
      </c>
      <c r="AC16" t="n">
        <v>69.5</v>
      </c>
      <c r="AD16" t="n">
        <v>50.7</v>
      </c>
      <c r="AE16" t="n">
        <v>89.59999999999999</v>
      </c>
      <c r="AF16" t="n">
        <v>64.09999999999999</v>
      </c>
      <c r="AG16" t="inlineStr">
        <is>
          <t>C</t>
        </is>
      </c>
    </row>
    <row r="17">
      <c r="A17" t="inlineStr">
        <is>
          <t>A475660</t>
        </is>
      </c>
      <c r="B17" t="inlineStr">
        <is>
          <t>에스켐</t>
        </is>
      </c>
      <c r="C17" t="inlineStr"/>
      <c r="D17" t="inlineStr"/>
      <c r="E17" t="n">
        <v>0</v>
      </c>
      <c r="F17" t="n">
        <v>0</v>
      </c>
      <c r="G17" t="n">
        <v>-0.8</v>
      </c>
      <c r="H17" t="n">
        <v>4.7</v>
      </c>
      <c r="I17" t="n">
        <v>-0.8</v>
      </c>
      <c r="J17" t="n">
        <v>-25.9</v>
      </c>
      <c r="K17" t="n">
        <v>4540</v>
      </c>
      <c r="L17" t="n">
        <v>29127</v>
      </c>
      <c r="M17" t="n">
        <v>1.3223658</v>
      </c>
      <c r="N17" t="n">
        <v>28794.95</v>
      </c>
      <c r="O17" t="n">
        <v>1.011531535911679</v>
      </c>
      <c r="P17" t="n">
        <v>4.761231005265615</v>
      </c>
      <c r="Q17" t="n">
        <v>44.20643104899056</v>
      </c>
      <c r="R17" t="n">
        <v>30.23779843325489</v>
      </c>
      <c r="S17" t="n">
        <v>14</v>
      </c>
      <c r="T17" t="n">
        <v>8.095238095238088</v>
      </c>
      <c r="U17" t="n">
        <v>-12.85988483685221</v>
      </c>
      <c r="V17" t="n">
        <v>4428.5</v>
      </c>
      <c r="W17" t="n">
        <v>4659.25</v>
      </c>
      <c r="X17" t="n">
        <v>5226.75</v>
      </c>
      <c r="Y17" t="n">
        <v>1</v>
      </c>
      <c r="Z17" t="n">
        <v>0</v>
      </c>
      <c r="AA17" t="n">
        <v>0</v>
      </c>
      <c r="AB17" t="n">
        <v>1193.531248901872</v>
      </c>
      <c r="AC17" t="n">
        <v>90.3</v>
      </c>
      <c r="AD17" t="n">
        <v>54.2</v>
      </c>
      <c r="AE17" t="n">
        <v>88.90000000000001</v>
      </c>
      <c r="AF17" t="n">
        <v>72</v>
      </c>
      <c r="AG17" t="inlineStr">
        <is>
          <t>B</t>
        </is>
      </c>
    </row>
    <row r="18">
      <c r="A18" t="inlineStr">
        <is>
          <t>A466100</t>
        </is>
      </c>
      <c r="B18" t="inlineStr">
        <is>
          <t>클로봇</t>
        </is>
      </c>
      <c r="C18" t="inlineStr"/>
      <c r="D18" t="inlineStr"/>
      <c r="E18" t="n">
        <v>281.5</v>
      </c>
      <c r="F18" t="n">
        <v>376.1</v>
      </c>
      <c r="G18" t="n">
        <v>103</v>
      </c>
      <c r="H18" t="n">
        <v>-241.8</v>
      </c>
      <c r="I18" t="n">
        <v>-1065.8</v>
      </c>
      <c r="J18" t="n">
        <v>-577.5</v>
      </c>
      <c r="K18" t="n">
        <v>46450</v>
      </c>
      <c r="L18" t="n">
        <v>475869</v>
      </c>
      <c r="M18" t="n">
        <v>221.0411505</v>
      </c>
      <c r="N18" t="n">
        <v>470491.05</v>
      </c>
      <c r="O18" t="n">
        <v>1.011430504363473</v>
      </c>
      <c r="P18" t="n">
        <v>4.263025442345443</v>
      </c>
      <c r="Q18" t="n">
        <v>50.16541349195553</v>
      </c>
      <c r="R18" t="n">
        <v>45.30274128674548</v>
      </c>
      <c r="S18" t="n">
        <v>4.9</v>
      </c>
      <c r="T18" t="n">
        <v>-2.004219409282704</v>
      </c>
      <c r="U18" t="n">
        <v>-8.562992125984252</v>
      </c>
      <c r="V18" t="n">
        <v>43255</v>
      </c>
      <c r="W18" t="n">
        <v>45022.5</v>
      </c>
      <c r="X18" t="n">
        <v>48811.66666666666</v>
      </c>
      <c r="Y18" t="n">
        <v>1</v>
      </c>
      <c r="Z18" t="n">
        <v>1</v>
      </c>
      <c r="AA18" t="n">
        <v>0</v>
      </c>
      <c r="AB18" t="n">
        <v>13252.44366741063</v>
      </c>
      <c r="AC18" t="n">
        <v>71.5</v>
      </c>
      <c r="AD18" t="n">
        <v>50.2</v>
      </c>
      <c r="AE18" t="n">
        <v>88.09999999999999</v>
      </c>
      <c r="AF18" t="n">
        <v>64.2</v>
      </c>
      <c r="AG18" t="inlineStr">
        <is>
          <t>C</t>
        </is>
      </c>
    </row>
    <row r="19">
      <c r="A19" t="inlineStr">
        <is>
          <t>A318060</t>
        </is>
      </c>
      <c r="B19" t="inlineStr">
        <is>
          <t>그래피</t>
        </is>
      </c>
      <c r="C19" t="inlineStr"/>
      <c r="D19" t="inlineStr"/>
      <c r="E19" t="n">
        <v>-61.6</v>
      </c>
      <c r="F19" t="n">
        <v>-53.2</v>
      </c>
      <c r="G19" t="n">
        <v>-396.3</v>
      </c>
      <c r="H19" t="n">
        <v>31.8</v>
      </c>
      <c r="I19" t="n">
        <v>388.3</v>
      </c>
      <c r="J19" t="n">
        <v>994.5</v>
      </c>
      <c r="K19" t="n">
        <v>23700</v>
      </c>
      <c r="L19" t="n">
        <v>189579</v>
      </c>
      <c r="M19" t="n">
        <v>44.930223</v>
      </c>
      <c r="N19" t="n">
        <v>195821.8</v>
      </c>
      <c r="O19" t="n">
        <v>0.9681199948116094</v>
      </c>
      <c r="P19" t="n">
        <v>4.678906428402748</v>
      </c>
      <c r="Q19" t="n">
        <v>31.2981427638977</v>
      </c>
      <c r="R19" t="n">
        <v>16.86598820899504</v>
      </c>
      <c r="S19" t="n">
        <v>14.4</v>
      </c>
      <c r="T19" t="n">
        <v>5.567928730512239</v>
      </c>
      <c r="U19" t="n">
        <v>-26.51162790697674</v>
      </c>
      <c r="V19" t="n">
        <v>24680</v>
      </c>
      <c r="W19" t="n">
        <v>26735</v>
      </c>
      <c r="X19" t="n">
        <v>36441.66666666666</v>
      </c>
      <c r="Y19" t="n">
        <v>0</v>
      </c>
      <c r="Z19" t="n">
        <v>0</v>
      </c>
      <c r="AA19" t="n">
        <v>0</v>
      </c>
      <c r="AB19" t="n">
        <v>10778.5557083447</v>
      </c>
      <c r="AC19" t="n">
        <v>51.8</v>
      </c>
      <c r="AD19" t="n">
        <v>51.6</v>
      </c>
      <c r="AE19" t="n">
        <v>87.40000000000001</v>
      </c>
      <c r="AF19" t="n">
        <v>58.8</v>
      </c>
      <c r="AG19" t="inlineStr">
        <is>
          <t>C</t>
        </is>
      </c>
    </row>
    <row r="20">
      <c r="A20" t="inlineStr">
        <is>
          <t>A461300</t>
        </is>
      </c>
      <c r="B20" t="inlineStr">
        <is>
          <t>아이스크림미디어</t>
        </is>
      </c>
      <c r="C20" t="inlineStr"/>
      <c r="D20" t="inlineStr"/>
      <c r="E20" t="n">
        <v>-8.800000000000001</v>
      </c>
      <c r="F20" t="n">
        <v>-173.1</v>
      </c>
      <c r="G20" t="n">
        <v>-252</v>
      </c>
      <c r="H20" t="n">
        <v>26.2</v>
      </c>
      <c r="I20" t="n">
        <v>80.8</v>
      </c>
      <c r="J20" t="n">
        <v>129.6</v>
      </c>
      <c r="K20" t="n">
        <v>16730</v>
      </c>
      <c r="L20" t="n">
        <v>64062</v>
      </c>
      <c r="M20" t="n">
        <v>10.7175726</v>
      </c>
      <c r="N20" t="n">
        <v>67803.05</v>
      </c>
      <c r="O20" t="n">
        <v>0.9448247534587308</v>
      </c>
      <c r="P20" t="n">
        <v>2.707899673992769</v>
      </c>
      <c r="Q20" t="n">
        <v>44.80855522960361</v>
      </c>
      <c r="R20" t="n">
        <v>26.78738891904314</v>
      </c>
      <c r="S20" t="n">
        <v>18</v>
      </c>
      <c r="T20" t="n">
        <v>-0.4166666666666652</v>
      </c>
      <c r="U20" t="n">
        <v>-8.877995642701524</v>
      </c>
      <c r="V20" t="n">
        <v>17282</v>
      </c>
      <c r="W20" t="n">
        <v>17469</v>
      </c>
      <c r="X20" t="n">
        <v>17023</v>
      </c>
      <c r="Y20" t="n">
        <v>0</v>
      </c>
      <c r="Z20" t="n">
        <v>0</v>
      </c>
      <c r="AA20" t="n">
        <v>0</v>
      </c>
      <c r="AB20" t="n">
        <v>2409.55641255049</v>
      </c>
      <c r="AC20" t="n">
        <v>55.9</v>
      </c>
      <c r="AD20" t="n">
        <v>48.1</v>
      </c>
      <c r="AE20" t="n">
        <v>86.7</v>
      </c>
      <c r="AF20" t="n">
        <v>58.2</v>
      </c>
      <c r="AG20" t="inlineStr">
        <is>
          <t>C</t>
        </is>
      </c>
    </row>
    <row r="21">
      <c r="A21" t="inlineStr">
        <is>
          <t>A096250</t>
        </is>
      </c>
      <c r="B21" t="inlineStr">
        <is>
          <t>와이즈넛</t>
        </is>
      </c>
      <c r="C21" t="inlineStr"/>
      <c r="D21" t="inlineStr"/>
      <c r="E21" t="n">
        <v>-4.1</v>
      </c>
      <c r="F21" t="n">
        <v>-45.5</v>
      </c>
      <c r="G21" t="n">
        <v>-67.8</v>
      </c>
      <c r="H21" t="n">
        <v>15.4</v>
      </c>
      <c r="I21" t="n">
        <v>3.3</v>
      </c>
      <c r="J21" t="n">
        <v>-42.4</v>
      </c>
      <c r="K21" t="n">
        <v>7890</v>
      </c>
      <c r="L21" t="n">
        <v>63814</v>
      </c>
      <c r="M21" t="n">
        <v>5.0349246</v>
      </c>
      <c r="N21" t="n">
        <v>69432.10000000001</v>
      </c>
      <c r="O21" t="n">
        <v>0.9190849765454306</v>
      </c>
      <c r="P21" t="n">
        <v>2.860164487758514</v>
      </c>
      <c r="Q21" t="n">
        <v>29.41620506392772</v>
      </c>
      <c r="R21" t="n">
        <v>13.11065535473562</v>
      </c>
      <c r="S21" t="n">
        <v>16.3</v>
      </c>
      <c r="T21" t="n">
        <v>3.27225130890052</v>
      </c>
      <c r="U21" t="n">
        <v>-28.79061371841155</v>
      </c>
      <c r="V21" t="n">
        <v>8421</v>
      </c>
      <c r="W21" t="n">
        <v>9047</v>
      </c>
      <c r="X21" t="n">
        <v>10057.66666666667</v>
      </c>
      <c r="Y21" t="n">
        <v>0</v>
      </c>
      <c r="Z21" t="n">
        <v>0</v>
      </c>
      <c r="AA21" t="n">
        <v>0</v>
      </c>
      <c r="AB21" t="n">
        <v>3237.519518331735</v>
      </c>
      <c r="AC21" t="n">
        <v>46.2</v>
      </c>
      <c r="AD21" t="n">
        <v>42</v>
      </c>
      <c r="AE21" t="n">
        <v>85.90000000000001</v>
      </c>
      <c r="AF21" t="n">
        <v>52</v>
      </c>
      <c r="AG21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</cols>
  <sheetData>
    <row r="1">
      <c r="A1" s="20" t="inlineStr">
        <is>
          <t>날짜</t>
        </is>
      </c>
      <c r="B1" s="20" t="inlineStr">
        <is>
          <t>분석종목수</t>
        </is>
      </c>
      <c r="C1" s="20" t="inlineStr">
        <is>
          <t>RSI65이상</t>
        </is>
      </c>
      <c r="D1" s="20" t="inlineStr">
        <is>
          <t>과매수비율(%)</t>
        </is>
      </c>
      <c r="E1" s="20" t="inlineStr">
        <is>
          <t>전일대비</t>
        </is>
      </c>
    </row>
    <row r="2">
      <c r="A2" t="inlineStr">
        <is>
          <t>2026-06-04</t>
        </is>
      </c>
      <c r="B2" t="n">
        <v>135</v>
      </c>
      <c r="C2" t="n">
        <v>2</v>
      </c>
      <c r="D2" t="n">
        <v>1.5</v>
      </c>
      <c r="E2" t="n">
        <v>-1</v>
      </c>
    </row>
    <row r="3">
      <c r="A3" t="inlineStr">
        <is>
          <t>2026-06-02</t>
        </is>
      </c>
      <c r="B3" t="n">
        <v>135</v>
      </c>
      <c r="C3" t="n">
        <v>3</v>
      </c>
      <c r="D3" t="n">
        <v>2.2</v>
      </c>
      <c r="E3" t="n">
        <v>-1</v>
      </c>
    </row>
    <row r="4">
      <c r="A4" t="inlineStr">
        <is>
          <t>2026-06-01</t>
        </is>
      </c>
      <c r="B4" t="n">
        <v>135</v>
      </c>
      <c r="C4" t="n">
        <v>4</v>
      </c>
      <c r="D4" t="n">
        <v>3</v>
      </c>
      <c r="E4" t="n">
        <v>-2</v>
      </c>
    </row>
    <row r="5">
      <c r="A5" t="inlineStr">
        <is>
          <t>2026-05-29</t>
        </is>
      </c>
      <c r="B5" t="n">
        <v>135</v>
      </c>
      <c r="C5" t="n">
        <v>6</v>
      </c>
      <c r="D5" t="n">
        <v>4.4</v>
      </c>
      <c r="E5" t="n">
        <v>-2</v>
      </c>
    </row>
    <row r="6">
      <c r="A6" t="inlineStr">
        <is>
          <t>2026-05-28</t>
        </is>
      </c>
      <c r="B6" t="n">
        <v>135</v>
      </c>
      <c r="C6" t="n">
        <v>8</v>
      </c>
      <c r="D6" t="n">
        <v>5.9</v>
      </c>
      <c r="E6" t="n">
        <v>-2</v>
      </c>
    </row>
    <row r="7">
      <c r="A7" t="inlineStr">
        <is>
          <t>2026-05-27</t>
        </is>
      </c>
      <c r="B7" t="n">
        <v>135</v>
      </c>
      <c r="C7" t="n">
        <v>10</v>
      </c>
      <c r="D7" t="n">
        <v>7.4</v>
      </c>
      <c r="E7" t="n">
        <v>-3</v>
      </c>
    </row>
    <row r="8">
      <c r="A8" t="inlineStr">
        <is>
          <t>2026-05-26</t>
        </is>
      </c>
      <c r="B8" t="n">
        <v>135</v>
      </c>
      <c r="C8" t="n">
        <v>13</v>
      </c>
      <c r="D8" t="n">
        <v>9.6</v>
      </c>
      <c r="E8" t="n">
        <v>0</v>
      </c>
    </row>
    <row r="9">
      <c r="A9" t="inlineStr">
        <is>
          <t>2026-05-22</t>
        </is>
      </c>
      <c r="B9" t="n">
        <v>135</v>
      </c>
      <c r="C9" t="n">
        <v>13</v>
      </c>
      <c r="D9" t="n">
        <v>9.6</v>
      </c>
      <c r="E9" t="n">
        <v>4</v>
      </c>
    </row>
    <row r="10">
      <c r="A10" t="inlineStr">
        <is>
          <t>2026-05-21</t>
        </is>
      </c>
      <c r="B10" t="n">
        <v>135</v>
      </c>
      <c r="C10" t="n">
        <v>9</v>
      </c>
      <c r="D10" t="n">
        <v>6.7</v>
      </c>
      <c r="E10" t="n">
        <v>4</v>
      </c>
    </row>
    <row r="11">
      <c r="A11" t="inlineStr">
        <is>
          <t>2026-05-20</t>
        </is>
      </c>
      <c r="B11" t="n">
        <v>135</v>
      </c>
      <c r="C11" t="n">
        <v>5</v>
      </c>
      <c r="D11" t="n">
        <v>3.7</v>
      </c>
      <c r="E11" t="n">
        <v>-2</v>
      </c>
    </row>
    <row r="12">
      <c r="A12" t="inlineStr">
        <is>
          <t>2026-05-19</t>
        </is>
      </c>
      <c r="B12" t="n">
        <v>135</v>
      </c>
      <c r="C12" t="n">
        <v>7</v>
      </c>
      <c r="D12" t="n">
        <v>5.2</v>
      </c>
      <c r="E12" t="n">
        <v>-4</v>
      </c>
    </row>
    <row r="13">
      <c r="A13" t="inlineStr">
        <is>
          <t>2026-05-18</t>
        </is>
      </c>
      <c r="B13" t="n">
        <v>135</v>
      </c>
      <c r="C13" t="n">
        <v>11</v>
      </c>
      <c r="D13" t="n">
        <v>8.1</v>
      </c>
      <c r="E13" t="n">
        <v>-2</v>
      </c>
    </row>
    <row r="14">
      <c r="A14" t="inlineStr">
        <is>
          <t>2026-05-15</t>
        </is>
      </c>
      <c r="B14" t="n">
        <v>135</v>
      </c>
      <c r="C14" t="n">
        <v>13</v>
      </c>
      <c r="D14" t="n">
        <v>9.6</v>
      </c>
      <c r="E14" t="n">
        <v>-6</v>
      </c>
    </row>
    <row r="15">
      <c r="A15" t="inlineStr">
        <is>
          <t>2026-05-14</t>
        </is>
      </c>
      <c r="B15" t="n">
        <v>135</v>
      </c>
      <c r="C15" t="n">
        <v>19</v>
      </c>
      <c r="D15" t="n">
        <v>14.1</v>
      </c>
      <c r="E15" t="n">
        <v>-2</v>
      </c>
    </row>
    <row r="16">
      <c r="A16" t="inlineStr">
        <is>
          <t>2026-05-13</t>
        </is>
      </c>
      <c r="B16" t="n">
        <v>135</v>
      </c>
      <c r="C16" t="n">
        <v>21</v>
      </c>
      <c r="D16" t="n">
        <v>15.6</v>
      </c>
      <c r="E16" t="n">
        <v>-3</v>
      </c>
    </row>
    <row r="17">
      <c r="A17" t="inlineStr">
        <is>
          <t>2026-05-12</t>
        </is>
      </c>
      <c r="B17" t="n">
        <v>135</v>
      </c>
      <c r="C17" t="n">
        <v>24</v>
      </c>
      <c r="D17" t="n">
        <v>17.8</v>
      </c>
      <c r="E17" t="n">
        <v>-9</v>
      </c>
    </row>
    <row r="18">
      <c r="A18" t="inlineStr">
        <is>
          <t>2026-05-11</t>
        </is>
      </c>
      <c r="B18" t="n">
        <v>135</v>
      </c>
      <c r="C18" t="n">
        <v>33</v>
      </c>
      <c r="D18" t="n">
        <v>24.4</v>
      </c>
      <c r="E18" t="n">
        <v>-4</v>
      </c>
    </row>
    <row r="19">
      <c r="A19" t="inlineStr">
        <is>
          <t>2026-05-08</t>
        </is>
      </c>
      <c r="B19" t="n">
        <v>135</v>
      </c>
      <c r="C19" t="n">
        <v>37</v>
      </c>
      <c r="D19" t="n">
        <v>27.4</v>
      </c>
      <c r="E19" t="n">
        <v>-2</v>
      </c>
    </row>
    <row r="20">
      <c r="A20" t="inlineStr">
        <is>
          <t>2026-05-07</t>
        </is>
      </c>
      <c r="B20" t="n">
        <v>135</v>
      </c>
      <c r="C20" t="n">
        <v>39</v>
      </c>
      <c r="D20" t="n">
        <v>28.9</v>
      </c>
      <c r="E20" t="n">
        <v>-6</v>
      </c>
    </row>
    <row r="21">
      <c r="A21" t="inlineStr">
        <is>
          <t>2026-05-06</t>
        </is>
      </c>
      <c r="B21" t="n">
        <v>135</v>
      </c>
      <c r="C21" t="n">
        <v>45</v>
      </c>
      <c r="D21" t="n">
        <v>33.3</v>
      </c>
      <c r="E21" t="n">
        <v>-10</v>
      </c>
    </row>
    <row r="22">
      <c r="A22" t="inlineStr">
        <is>
          <t>2026-05-04</t>
        </is>
      </c>
      <c r="B22" t="n">
        <v>135</v>
      </c>
      <c r="C22" t="n">
        <v>55</v>
      </c>
      <c r="D22" t="n">
        <v>40.7</v>
      </c>
      <c r="E22" t="n">
        <v>3</v>
      </c>
    </row>
    <row r="23">
      <c r="A23" t="inlineStr">
        <is>
          <t>2026-04-30</t>
        </is>
      </c>
      <c r="B23" t="n">
        <v>135</v>
      </c>
      <c r="C23" t="n">
        <v>52</v>
      </c>
      <c r="D23" t="n">
        <v>38.5</v>
      </c>
      <c r="E23" t="n">
        <v>-2</v>
      </c>
    </row>
    <row r="24">
      <c r="A24" t="inlineStr">
        <is>
          <t>2026-04-29</t>
        </is>
      </c>
      <c r="B24" t="n">
        <v>135</v>
      </c>
      <c r="C24" t="n">
        <v>54</v>
      </c>
      <c r="D24" t="n">
        <v>40</v>
      </c>
      <c r="E24" t="n">
        <v>-2</v>
      </c>
    </row>
    <row r="25">
      <c r="A25" t="inlineStr">
        <is>
          <t>2026-04-28</t>
        </is>
      </c>
      <c r="B25" t="n">
        <v>135</v>
      </c>
      <c r="C25" t="n">
        <v>56</v>
      </c>
      <c r="D25" t="n">
        <v>41.5</v>
      </c>
      <c r="E25" t="n">
        <v>-4</v>
      </c>
    </row>
    <row r="26">
      <c r="A26" t="inlineStr">
        <is>
          <t>2026-04-27</t>
        </is>
      </c>
      <c r="B26" t="n">
        <v>135</v>
      </c>
      <c r="C26" t="n">
        <v>60</v>
      </c>
      <c r="D26" t="n">
        <v>44.4</v>
      </c>
      <c r="E26" t="n">
        <v>-4</v>
      </c>
    </row>
    <row r="27">
      <c r="A27" t="inlineStr">
        <is>
          <t>2026-04-24</t>
        </is>
      </c>
      <c r="B27" t="n">
        <v>135</v>
      </c>
      <c r="C27" t="n">
        <v>64</v>
      </c>
      <c r="D27" t="n">
        <v>47.4</v>
      </c>
      <c r="E27" t="n">
        <v>7</v>
      </c>
    </row>
    <row r="28">
      <c r="A28" t="inlineStr">
        <is>
          <t>2026-04-23</t>
        </is>
      </c>
      <c r="B28" t="n">
        <v>135</v>
      </c>
      <c r="C28" t="n">
        <v>57</v>
      </c>
      <c r="D28" t="n">
        <v>42.2</v>
      </c>
      <c r="E28" t="n">
        <v>-3</v>
      </c>
    </row>
    <row r="29">
      <c r="A29" t="inlineStr">
        <is>
          <t>2026-04-22</t>
        </is>
      </c>
      <c r="B29" t="n">
        <v>135</v>
      </c>
      <c r="C29" t="n">
        <v>60</v>
      </c>
      <c r="D29" t="n">
        <v>44.4</v>
      </c>
      <c r="E29" t="n">
        <v>0</v>
      </c>
    </row>
    <row r="30">
      <c r="A30" t="inlineStr">
        <is>
          <t>2026-04-21</t>
        </is>
      </c>
      <c r="B30" t="n">
        <v>132</v>
      </c>
      <c r="C30" t="n">
        <v>60</v>
      </c>
      <c r="D30" t="n">
        <v>45.5</v>
      </c>
      <c r="E30" t="n">
        <v>60</v>
      </c>
    </row>
    <row r="31">
      <c r="A31" t="inlineStr">
        <is>
          <t>2026-04-20</t>
        </is>
      </c>
      <c r="B31" t="n">
        <v>0</v>
      </c>
      <c r="C31" t="n">
        <v>0</v>
      </c>
      <c r="D31" t="n">
        <v>0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2026-06-04T07:05:50Z</dcterms:created>
  <dcterms:modified xmlns:dcterms="http://purl.org/dc/terms/" xmlns:xsi="http://www.w3.org/2001/XMLSchema-instance" xsi:type="dcterms:W3CDTF">2026-06-04T07:07:53Z</dcterms:modified>
</cp:coreProperties>
</file>